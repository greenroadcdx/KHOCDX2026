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macbookair/Desktop/"/>
    </mc:Choice>
  </mc:AlternateContent>
  <xr:revisionPtr revIDLastSave="0" documentId="13_ncr:1_{893E575C-CD2F-AB46-AE40-A07D9EA545EC}" xr6:coauthVersionLast="45" xr6:coauthVersionMax="45" xr10:uidLastSave="{00000000-0000-0000-0000-000000000000}"/>
  <bookViews>
    <workbookView xWindow="0" yWindow="460" windowWidth="27320" windowHeight="13080" xr2:uid="{D73D91F3-DD13-B34C-B0D8-924901397602}"/>
  </bookViews>
  <sheets>
    <sheet name="Tong hop VAT TU-May moc" sheetId="10" r:id="rId1"/>
    <sheet name="BBBG Doi ep Vt 11" sheetId="8" r:id="rId2"/>
    <sheet name="BBBG Doi ep vt16" sheetId="5" r:id="rId3"/>
  </sheets>
  <definedNames>
    <definedName name="_xlnm._FilterDatabase" localSheetId="0" hidden="1">'Tong hop VAT TU-May moc'!$B$8:$I$202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94" i="10" l="1"/>
  <c r="G181" i="10"/>
  <c r="G174" i="10"/>
  <c r="H175" i="10"/>
  <c r="G173" i="10"/>
  <c r="G106" i="10"/>
  <c r="H106" i="10" s="1"/>
  <c r="F104" i="10"/>
  <c r="H105"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G104" i="10"/>
  <c r="H104" i="10" s="1"/>
  <c r="H199" i="10" s="1"/>
  <c r="H98" i="10" l="1"/>
  <c r="H100" i="10"/>
  <c r="H99" i="10"/>
  <c r="H97" i="10"/>
  <c r="H96" i="10"/>
  <c r="H95" i="10"/>
  <c r="H94" i="10"/>
  <c r="H93" i="10"/>
  <c r="H92" i="10"/>
  <c r="H91" i="10"/>
  <c r="H90" i="10"/>
  <c r="H89" i="10"/>
  <c r="H88" i="10"/>
  <c r="H87" i="10"/>
  <c r="H86" i="10"/>
  <c r="H85" i="10"/>
  <c r="H84" i="10"/>
  <c r="H81" i="10"/>
  <c r="H82" i="10"/>
  <c r="H83" i="10"/>
  <c r="H80" i="10"/>
  <c r="H79" i="10"/>
  <c r="H78" i="10"/>
  <c r="H77" i="10"/>
  <c r="H73" i="10"/>
  <c r="H74" i="10"/>
  <c r="H75" i="10"/>
  <c r="H76" i="10"/>
  <c r="H72" i="10"/>
  <c r="H62" i="10"/>
  <c r="H61" i="10"/>
  <c r="H60" i="10"/>
  <c r="H54" i="10"/>
  <c r="H53" i="10"/>
  <c r="H43" i="10"/>
  <c r="H71" i="10" l="1"/>
  <c r="H70" i="10"/>
  <c r="H69" i="10"/>
  <c r="H68" i="10"/>
  <c r="H67" i="10"/>
  <c r="H66" i="10"/>
  <c r="H65" i="10"/>
  <c r="H64" i="10"/>
  <c r="H63" i="10"/>
  <c r="H59" i="10"/>
  <c r="H58" i="10"/>
  <c r="H57" i="10"/>
  <c r="H56" i="10"/>
  <c r="H55" i="10"/>
  <c r="H52" i="10"/>
  <c r="H51" i="10"/>
  <c r="H50" i="10"/>
  <c r="H49" i="10"/>
  <c r="H48" i="10"/>
  <c r="H47" i="10"/>
  <c r="H46" i="10"/>
  <c r="H45" i="10"/>
  <c r="H44"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12" i="5"/>
  <c r="H11" i="5"/>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39" i="8" s="1"/>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10" i="5"/>
  <c r="H9" i="5"/>
  <c r="H101" i="10" l="1"/>
  <c r="H4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9" authorId="0" shapeId="0" xr:uid="{9C8B0393-5A1B-D642-89B5-4D7350B7B7A9}">
      <text>
        <r>
          <rPr>
            <b/>
            <sz val="10"/>
            <color rgb="FF000000"/>
            <rFont val="Tahoma"/>
            <family val="2"/>
          </rPr>
          <t>Microsoft Office User:</t>
        </r>
        <r>
          <rPr>
            <sz val="10"/>
            <color rgb="FF000000"/>
            <rFont val="Tahoma"/>
            <family val="2"/>
          </rPr>
          <t xml:space="preserve">
</t>
        </r>
        <r>
          <rPr>
            <sz val="10"/>
            <color rgb="FF000000"/>
            <rFont val="Tahoma"/>
            <family val="2"/>
          </rPr>
          <t xml:space="preserve">Copy phần tên hàng hoá, tại đến cuối
</t>
        </r>
        <r>
          <rPr>
            <sz val="10"/>
            <color rgb="FF000000"/>
            <rFont val="Tahoma"/>
            <family val="2"/>
          </rPr>
          <t xml:space="preserve">vào sheet tỏng hợp
</t>
        </r>
      </text>
    </comment>
    <comment ref="B11" authorId="0" shapeId="0" xr:uid="{8D6842D9-64B5-A743-935A-666FCB4467DB}">
      <text>
        <r>
          <rPr>
            <b/>
            <sz val="10"/>
            <color rgb="FF000000"/>
            <rFont val="Tahoma"/>
            <family val="2"/>
          </rPr>
          <t>Microsoft Office User:</t>
        </r>
        <r>
          <rPr>
            <sz val="10"/>
            <color rgb="FF000000"/>
            <rFont val="Tahoma"/>
            <family val="2"/>
          </rPr>
          <t xml:space="preserve">
</t>
        </r>
        <r>
          <rPr>
            <sz val="10"/>
            <color rgb="FF000000"/>
            <rFont val="Tahoma"/>
            <family val="2"/>
          </rPr>
          <t xml:space="preserve">Copy phần tên hàng hoá, tại đến cuối
</t>
        </r>
        <r>
          <rPr>
            <sz val="10"/>
            <color rgb="FF000000"/>
            <rFont val="Tahoma"/>
            <family val="2"/>
          </rPr>
          <t xml:space="preserve">vào sheet tỏng hợp
</t>
        </r>
      </text>
    </comment>
    <comment ref="B41" authorId="0" shapeId="0" xr:uid="{0141144B-5C83-954E-95E5-C8C02B1B9B80}">
      <text>
        <r>
          <rPr>
            <b/>
            <sz val="10"/>
            <color rgb="FF000000"/>
            <rFont val="Tahoma"/>
            <family val="2"/>
          </rPr>
          <t>Microsoft Office User:</t>
        </r>
        <r>
          <rPr>
            <sz val="10"/>
            <color rgb="FF000000"/>
            <rFont val="Tahoma"/>
            <family val="2"/>
          </rPr>
          <t xml:space="preserve">
</t>
        </r>
        <r>
          <rPr>
            <sz val="10"/>
            <color rgb="FF000000"/>
            <rFont val="Tahoma"/>
            <family val="2"/>
          </rPr>
          <t xml:space="preserve">Copy phần tên hàng hoá, tại đến cuối
</t>
        </r>
        <r>
          <rPr>
            <sz val="10"/>
            <color rgb="FF000000"/>
            <rFont val="Tahoma"/>
            <family val="2"/>
          </rPr>
          <t xml:space="preserve">vào sheet tỏng hợp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9" authorId="0" shapeId="0" xr:uid="{5358EB98-DC82-7E41-ABCE-26873BDABDF2}">
      <text>
        <r>
          <rPr>
            <b/>
            <sz val="10"/>
            <color rgb="FF000000"/>
            <rFont val="Tahoma"/>
            <family val="2"/>
          </rPr>
          <t>Microsoft Office User:</t>
        </r>
        <r>
          <rPr>
            <sz val="10"/>
            <color rgb="FF000000"/>
            <rFont val="Tahoma"/>
            <family val="2"/>
          </rPr>
          <t xml:space="preserve">
</t>
        </r>
        <r>
          <rPr>
            <sz val="10"/>
            <color rgb="FF000000"/>
            <rFont val="Tahoma"/>
            <family val="2"/>
          </rPr>
          <t xml:space="preserve">Copy phần tên hàng hoá, tại đến cuối
</t>
        </r>
        <r>
          <rPr>
            <sz val="10"/>
            <color rgb="FF000000"/>
            <rFont val="Tahoma"/>
            <family val="2"/>
          </rPr>
          <t xml:space="preserve">vào sheet tỏng hợp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9" authorId="0" shapeId="0" xr:uid="{EEBA26BA-B3C0-9349-BC6D-979581F36211}">
      <text>
        <r>
          <rPr>
            <b/>
            <sz val="10"/>
            <color rgb="FF000000"/>
            <rFont val="Tahoma"/>
            <family val="2"/>
          </rPr>
          <t>Microsoft Office User:</t>
        </r>
        <r>
          <rPr>
            <sz val="10"/>
            <color rgb="FF000000"/>
            <rFont val="Tahoma"/>
            <family val="2"/>
          </rPr>
          <t xml:space="preserve">
</t>
        </r>
        <r>
          <rPr>
            <sz val="10"/>
            <color rgb="FF000000"/>
            <rFont val="Tahoma"/>
            <family val="2"/>
          </rPr>
          <t xml:space="preserve">Copy phần tên hàng hoá, tại đến cuối
</t>
        </r>
        <r>
          <rPr>
            <sz val="10"/>
            <color rgb="FF000000"/>
            <rFont val="Tahoma"/>
            <family val="2"/>
          </rPr>
          <t xml:space="preserve">vào sheet tỏng hợp
</t>
        </r>
      </text>
    </comment>
    <comment ref="B11" authorId="0" shapeId="0" xr:uid="{84B5CA92-5314-C247-9F67-52D7B5D3852D}">
      <text>
        <r>
          <rPr>
            <b/>
            <sz val="10"/>
            <color rgb="FF000000"/>
            <rFont val="Tahoma"/>
            <family val="2"/>
          </rPr>
          <t>Microsoft Office User:</t>
        </r>
        <r>
          <rPr>
            <sz val="10"/>
            <color rgb="FF000000"/>
            <rFont val="Tahoma"/>
            <family val="2"/>
          </rPr>
          <t xml:space="preserve">
</t>
        </r>
        <r>
          <rPr>
            <sz val="10"/>
            <color rgb="FF000000"/>
            <rFont val="Tahoma"/>
            <family val="2"/>
          </rPr>
          <t xml:space="preserve">Copy phần tên hàng hoá, tại đến cuối
</t>
        </r>
        <r>
          <rPr>
            <sz val="10"/>
            <color rgb="FF000000"/>
            <rFont val="Tahoma"/>
            <family val="2"/>
          </rPr>
          <t xml:space="preserve">vào sheet tỏng hợp
</t>
        </r>
      </text>
    </comment>
  </commentList>
</comments>
</file>

<file path=xl/sharedStrings.xml><?xml version="1.0" encoding="utf-8"?>
<sst xmlns="http://schemas.openxmlformats.org/spreadsheetml/2006/main" count="836" uniqueCount="253">
  <si>
    <t>Tên hàng</t>
  </si>
  <si>
    <t xml:space="preserve">Đơn giá </t>
  </si>
  <si>
    <t>Ghi chú</t>
  </si>
  <si>
    <t>Biên bản được lập thành 02 bản, mỗi bên giữ 01 bản có giá trị pháp lý như nhau:</t>
  </si>
  <si>
    <t>Biên bản số:…..</t>
  </si>
  <si>
    <t>Máy hàn điện tử</t>
  </si>
  <si>
    <t>Cáp cẩu</t>
  </si>
  <si>
    <t>Máy hàn cơ</t>
  </si>
  <si>
    <t>sợi</t>
  </si>
  <si>
    <t>cái</t>
  </si>
  <si>
    <t>bộ</t>
  </si>
  <si>
    <t>Tôn lót dầm ép, xe cẩu</t>
  </si>
  <si>
    <t>SL</t>
  </si>
  <si>
    <t>Đvt</t>
  </si>
  <si>
    <t>Sắt tấm loại dày 18-20mm, 1,5 mét x 6 mét</t>
  </si>
  <si>
    <t>Tấm</t>
  </si>
  <si>
    <t>Tôn lót dầm ép, xe cẩu, lot đường</t>
  </si>
  <si>
    <t>Sắt tấm loại dày 10-15mm, 1,5 mét x 6 mét</t>
  </si>
  <si>
    <t>Bộ</t>
  </si>
  <si>
    <t>Cục tải bê tông</t>
  </si>
  <si>
    <t>Kích thước: dài…m x rộng…mét x cao…mét</t>
  </si>
  <si>
    <t>Cục</t>
  </si>
  <si>
    <t>Thùng dồ nghề bằng sắt</t>
  </si>
  <si>
    <t>Kích thước thùng rộng…m x cao…m x sâu…m</t>
  </si>
  <si>
    <t>Thùng</t>
  </si>
  <si>
    <t>Máy phát điện</t>
  </si>
  <si>
    <t>Công suất….w;</t>
  </si>
  <si>
    <t>Máy</t>
  </si>
  <si>
    <t>Dây điện …pha cho máy phát</t>
  </si>
  <si>
    <t>Sợi</t>
  </si>
  <si>
    <t>….mét, ...lõi</t>
  </si>
  <si>
    <t>Xe cẩu 30 tấn</t>
  </si>
  <si>
    <t>Xe</t>
  </si>
  <si>
    <t>…mét</t>
  </si>
  <si>
    <t>Cáp nèo cọc</t>
  </si>
  <si>
    <t>…pha</t>
  </si>
  <si>
    <t>máy</t>
  </si>
  <si>
    <t>1 bộ = 2 dây nóng, nguội)</t>
  </si>
  <si>
    <t>Kìm hàn</t>
  </si>
  <si>
    <t>Cái</t>
  </si>
  <si>
    <t>Thanh sắt chốt dầm 0.5 mét</t>
  </si>
  <si>
    <t>thanh</t>
  </si>
  <si>
    <t>Gồm 4 thanh dầm dài….mét, 4 thanh dầm ngang…mét, 8 con vít me, 01 đê, 01 cây nối âm, 01 máy ép, 2 khớp nối</t>
  </si>
  <si>
    <t xml:space="preserve">Bộ dàm dàn máy ép thuỷ lực 300T </t>
  </si>
  <si>
    <r>
      <rPr>
        <b/>
        <sz val="14"/>
        <color theme="1"/>
        <rFont val="Times New Roman"/>
        <family val="1"/>
      </rPr>
      <t>Bên giao hàng</t>
    </r>
    <r>
      <rPr>
        <sz val="14"/>
        <color theme="1"/>
        <rFont val="Times New Roman"/>
        <family val="1"/>
      </rPr>
      <t>:        Ông/Bà:                                                        Chức vụ/bộ phận</t>
    </r>
  </si>
  <si>
    <r>
      <rPr>
        <b/>
        <sz val="14"/>
        <color theme="1"/>
        <rFont val="Times New Roman"/>
        <family val="1"/>
      </rPr>
      <t>Bên nhận hàng</t>
    </r>
    <r>
      <rPr>
        <sz val="14"/>
        <color theme="1"/>
        <rFont val="Times New Roman"/>
        <family val="1"/>
      </rPr>
      <t>:       Ông/Bà:                                                       Chức vụ/bộ phận:</t>
    </r>
  </si>
  <si>
    <t>Xác nhận việc giao nhận hàng hoá, vật tư, tài sản như sau:</t>
  </si>
  <si>
    <t>Stt</t>
  </si>
  <si>
    <t>Sắt tròn phi 25</t>
  </si>
  <si>
    <t>Xà beng</t>
  </si>
  <si>
    <t>Ủng bảo hộ</t>
  </si>
  <si>
    <t>Thước cuộn</t>
  </si>
  <si>
    <t>Thước thuỷ</t>
  </si>
  <si>
    <t>Ma ní</t>
  </si>
  <si>
    <t>Bộ chìa khoá từ 10 đến 24</t>
  </si>
  <si>
    <t>Mỏ lết răng</t>
  </si>
  <si>
    <t>Mỏ lết thường</t>
  </si>
  <si>
    <t>Tuốc vít 4 cạnh</t>
  </si>
  <si>
    <t>Búa đinh</t>
  </si>
  <si>
    <t>10 mét</t>
  </si>
  <si>
    <t>Đôi</t>
  </si>
  <si>
    <t>Kìm cách điện</t>
  </si>
  <si>
    <t>Bản mã nối cọc</t>
  </si>
  <si>
    <t>Sắt V nối cọc</t>
  </si>
  <si>
    <t>Que hàn 4 mm</t>
  </si>
  <si>
    <t>Bên bàn giao</t>
  </si>
  <si>
    <t>Bên nhận sử dụng &amp; bảo quản</t>
  </si>
  <si>
    <t>BIÊN BẢN BÀN GIAO THIẾT BỊ, VẬT TƯ</t>
  </si>
  <si>
    <t>Tại</t>
  </si>
  <si>
    <t>VT 16</t>
  </si>
  <si>
    <t>vT 16</t>
  </si>
  <si>
    <t>Hai bên đồng ý, thống nhất ký tên để giao, nhận thiết bị, vật tư làm căn cứ để quản lý tài sản, hàng hoá. Nếu trong trường hợp để xảy ra mất mát hoặc hư hỏng, mà bên nhận không chứng minh được nguyên nhân thì phải chịu trách nhiệm bồi thường cho cty.</t>
  </si>
  <si>
    <t>Bộ dây hàn….mét</t>
  </si>
  <si>
    <t>kích thước 25 cm x 40 cm</t>
  </si>
  <si>
    <t>Bảng viết mika</t>
  </si>
  <si>
    <t>bó</t>
  </si>
  <si>
    <t>tấm</t>
  </si>
  <si>
    <t xml:space="preserve">Tổng cộng thành tiền (VNĐ): </t>
  </si>
  <si>
    <t xml:space="preserve">Thành tiền </t>
  </si>
  <si>
    <t>Hôm nay, ngày …..tháng …. năm 202...                 Tại:            Chúng tôi gồm:</t>
  </si>
  <si>
    <t>Ngày …..... tháng …..năm 202..</t>
  </si>
  <si>
    <t>VT 11</t>
  </si>
  <si>
    <t>Tôn lót đường (tôn tàu)</t>
  </si>
  <si>
    <t>Tôn lot đường (tôn mỏng)</t>
  </si>
  <si>
    <t>Tôn lót đường (mỏng</t>
  </si>
  <si>
    <t>Tôn lót đường (dày)</t>
  </si>
  <si>
    <t>Tôn lót đường mỏng (vỉ xe cuốc)</t>
  </si>
  <si>
    <t>5 mét, dây cũ hỏng</t>
  </si>
  <si>
    <t>…pha (ở Vt11 chuyển ra)</t>
  </si>
  <si>
    <t>…pha (ở bãi Vt11: 2 nâu, 1 xanh)</t>
  </si>
  <si>
    <t>theo dầm ép</t>
  </si>
  <si>
    <t>Bộ chìa khoá từ 10 đến 24+thùng</t>
  </si>
  <si>
    <t>Máy hàn cơ (trong thùng đồ nghề)</t>
  </si>
  <si>
    <t>trong thùng đồ nghề</t>
  </si>
  <si>
    <t>Đe ép cọc</t>
  </si>
  <si>
    <t>Xích + mani</t>
  </si>
  <si>
    <t>Bóng đèn thắp sáng vt11</t>
  </si>
  <si>
    <t>Cọc mũi 11.2</t>
  </si>
  <si>
    <t>cọc</t>
  </si>
  <si>
    <t>Cọc thân 2 đầu</t>
  </si>
  <si>
    <t>Cọc thân 1 đầu</t>
  </si>
  <si>
    <t>Bộ khuôn đúc bê tông (11 cọc/bộ)</t>
  </si>
  <si>
    <t>Sắt khuôn dư kt 0.15m x 6 mét</t>
  </si>
  <si>
    <t>ống tưới nước</t>
  </si>
  <si>
    <t>khoảng 30 mét</t>
  </si>
  <si>
    <t>cuộn</t>
  </si>
  <si>
    <t>Dây điện 1x2</t>
  </si>
  <si>
    <t>mét</t>
  </si>
  <si>
    <t>que hàn 4 mm</t>
  </si>
  <si>
    <t>đã dùng dư</t>
  </si>
  <si>
    <t>Đèn led thắp sáng</t>
  </si>
  <si>
    <t>Bộ xạc bình ác quy</t>
  </si>
  <si>
    <t>Cưa xăng</t>
  </si>
  <si>
    <t>Máy đầm dùi bê tông + dùi</t>
  </si>
  <si>
    <t>Gàu xe cuốc</t>
  </si>
  <si>
    <t>Xe cuốc</t>
  </si>
  <si>
    <t>Lưới sắt B40 (nhơn trạch về)</t>
  </si>
  <si>
    <t>chiếc</t>
  </si>
  <si>
    <t>Thùng nhưạ đựng nước 200 l</t>
  </si>
  <si>
    <t>thùng</t>
  </si>
  <si>
    <t>Bình oxi, ga + vòi mỏ</t>
  </si>
  <si>
    <t xml:space="preserve">bộ </t>
  </si>
  <si>
    <t>Cuộn dây điện nguồn 1pha</t>
  </si>
  <si>
    <t>Tấm sắt bảo vệ máy phát 1x1m, 2 li</t>
  </si>
  <si>
    <t>Máng đổ bê tông</t>
  </si>
  <si>
    <t>Cánh cửa xe cuốc</t>
  </si>
  <si>
    <t>Cột camera</t>
  </si>
  <si>
    <t>Camera quay quét+pin</t>
  </si>
  <si>
    <t>Camera nhỏ</t>
  </si>
  <si>
    <t>Ống mũi 5 đoạn tổng khoang 15 mét</t>
  </si>
  <si>
    <t>Nhớt thải, thuỷ lực thái</t>
  </si>
  <si>
    <t>Công te nơ</t>
  </si>
  <si>
    <t>Sắt vụn trong công te nơ</t>
  </si>
  <si>
    <t>Sắt phi 22, sắt 8…</t>
  </si>
  <si>
    <r>
      <rPr>
        <b/>
        <sz val="15"/>
        <color theme="1"/>
        <rFont val="Times New Roman"/>
        <family val="1"/>
      </rPr>
      <t>Bên giao hàng</t>
    </r>
    <r>
      <rPr>
        <sz val="15"/>
        <color theme="1"/>
        <rFont val="Times New Roman"/>
        <family val="1"/>
      </rPr>
      <t>:        Ông/Bà:                                                        Chức vụ/bộ phận</t>
    </r>
  </si>
  <si>
    <r>
      <rPr>
        <b/>
        <sz val="15"/>
        <color theme="1"/>
        <rFont val="Times New Roman"/>
        <family val="1"/>
      </rPr>
      <t>Bên nhận hàng</t>
    </r>
    <r>
      <rPr>
        <sz val="15"/>
        <color theme="1"/>
        <rFont val="Times New Roman"/>
        <family val="1"/>
      </rPr>
      <t>:       Ông/Bà:                                                       Chức vụ/bộ phận:</t>
    </r>
  </si>
  <si>
    <t>bản mã nối cọc</t>
  </si>
  <si>
    <t>Bãi</t>
  </si>
  <si>
    <t>Sắt phi 22</t>
  </si>
  <si>
    <t>đoạn ngắn 40-50cm</t>
  </si>
  <si>
    <t>đoạn</t>
  </si>
  <si>
    <t>Sắt tấm cắt phôi ra</t>
  </si>
  <si>
    <t>kt 24 x 30 cm</t>
  </si>
  <si>
    <t>Đầm dùi bê tông máy xăng</t>
  </si>
  <si>
    <t>Khoan đục bê tông</t>
  </si>
  <si>
    <t>Rùa cắt gió đá</t>
  </si>
  <si>
    <t>Chân máy đo chữ A</t>
  </si>
  <si>
    <t>Cục chống rơi an toàn</t>
  </si>
  <si>
    <t>Cưa xăng cũ</t>
  </si>
  <si>
    <t>Bộ ống mỏ vòi gió đá</t>
  </si>
  <si>
    <t>Bánh pone cũ của cuốc cẩu</t>
  </si>
  <si>
    <t>Kẽm cuộn 50kg</t>
  </si>
  <si>
    <t>5 nguyên, 1/2</t>
  </si>
  <si>
    <t>Dây máy hàn Mic</t>
  </si>
  <si>
    <t>hôpj</t>
  </si>
  <si>
    <t>Bơm chìm</t>
  </si>
  <si>
    <t xml:space="preserve">Mũi máy đục bê tông </t>
  </si>
  <si>
    <t>Bánh xe rùa cũ</t>
  </si>
  <si>
    <t>Bánh xe rùa mới</t>
  </si>
  <si>
    <t>Nhớt máy thùng 18l</t>
  </si>
  <si>
    <t>Palang xích to, nhỏ</t>
  </si>
  <si>
    <t>Máy cắt tay</t>
  </si>
  <si>
    <t>1 chạy, 1 hỏng</t>
  </si>
  <si>
    <t>Máy hàn MIC, đủ dây</t>
  </si>
  <si>
    <t>Kéo cộng lực cắt sắt</t>
  </si>
  <si>
    <t>Máy hàn điện từ</t>
  </si>
  <si>
    <t>Máy hàn cơ hỏng</t>
  </si>
  <si>
    <t>Bình Gax</t>
  </si>
  <si>
    <t>Bình gió</t>
  </si>
  <si>
    <t>Đá máy cắt bàn 4 tấc</t>
  </si>
  <si>
    <t>Kìm hàn mới</t>
  </si>
  <si>
    <t>Hộp điện 20x35 nhựa</t>
  </si>
  <si>
    <t>hộp điện kẽm 45x60cm</t>
  </si>
  <si>
    <t>Dùi bê tông</t>
  </si>
  <si>
    <t>Dây điện nguồn 1 pha</t>
  </si>
  <si>
    <t>10,10,15m</t>
  </si>
  <si>
    <t>Dây điện 1 pha 1.5 nâu</t>
  </si>
  <si>
    <t>Khung sắt V10, của khung thuỷ lực</t>
  </si>
  <si>
    <t>Cục tải cap 1 cẩu</t>
  </si>
  <si>
    <t>Tấm thép đe</t>
  </si>
  <si>
    <t>Dây hàn mới</t>
  </si>
  <si>
    <t>cục</t>
  </si>
  <si>
    <t>lóc</t>
  </si>
  <si>
    <t>bình</t>
  </si>
  <si>
    <t>Cuộn</t>
  </si>
  <si>
    <t>Lá xích cuốc, cẩu</t>
  </si>
  <si>
    <t>Camera quay</t>
  </si>
  <si>
    <t>Máy vỏ lãi + Xác xi chân vit</t>
  </si>
  <si>
    <t>Bình ác quy 50 cũ</t>
  </si>
  <si>
    <t>Tấm thép kê đầu cọc</t>
  </si>
  <si>
    <t>Thanh sắt v7</t>
  </si>
  <si>
    <t>Thanh sắt tròn phi 25</t>
  </si>
  <si>
    <t>khoảng 1,5 mét x 8</t>
  </si>
  <si>
    <t xml:space="preserve">Mỏ, dây hàn </t>
  </si>
  <si>
    <t xml:space="preserve">2 bộ </t>
  </si>
  <si>
    <t>Máy bẻ sắt cây (móc cẩu)</t>
  </si>
  <si>
    <t>Máy chặt sắt cây</t>
  </si>
  <si>
    <t>Máy cắt bàn</t>
  </si>
  <si>
    <t>Vỏ thùng phuy 200l</t>
  </si>
  <si>
    <t>2 tấm 5m, 1 tấm 3</t>
  </si>
  <si>
    <t>Tôn lót đường dày 1.5x6</t>
  </si>
  <si>
    <t>dưới máy chặt 1</t>
  </si>
  <si>
    <t>Xe cẩu KH 125</t>
  </si>
  <si>
    <t>Máy chặt sắt tấm</t>
  </si>
  <si>
    <t>Máy chấn sắt tấm</t>
  </si>
  <si>
    <t>Sà lan nhỏ tải 70 tấn</t>
  </si>
  <si>
    <t>Máy phát xanh, đỏ, trắng</t>
  </si>
  <si>
    <t>Máy phát xanh 3 pha</t>
  </si>
  <si>
    <t>Máy chạy đai</t>
  </si>
  <si>
    <t>Khuôn đúc bê tông 11 cọc/bộ</t>
  </si>
  <si>
    <t>Xe rùa</t>
  </si>
  <si>
    <t>Xe rua kéo tay</t>
  </si>
  <si>
    <t>Sắt vụ ..</t>
  </si>
  <si>
    <t>ngoài công</t>
  </si>
  <si>
    <t>Máy biến thế máy chặt</t>
  </si>
  <si>
    <t>Sắt tấm phôi bản mã</t>
  </si>
  <si>
    <t>151 x 104 mét</t>
  </si>
  <si>
    <t>Sắt phôi bản mà</t>
  </si>
  <si>
    <t>183 x 31</t>
  </si>
  <si>
    <t>85 x 31</t>
  </si>
  <si>
    <t>Sắt phôi bản mã</t>
  </si>
  <si>
    <t>153 x 31</t>
  </si>
  <si>
    <t>Hộp điện kỹ thuật</t>
  </si>
  <si>
    <t>Cọc camera</t>
  </si>
  <si>
    <t>Bánh phone cuốc</t>
  </si>
  <si>
    <t>Cũ</t>
  </si>
  <si>
    <t>Sắt tấm khuôn dư</t>
  </si>
  <si>
    <t>6m 30</t>
  </si>
  <si>
    <t>Ngựa để bô lồng</t>
  </si>
  <si>
    <t>Chân 3 chang máy bẻ đai</t>
  </si>
  <si>
    <t>Vỏ can xăng dầu</t>
  </si>
  <si>
    <t>Khuôn để đổ mũi</t>
  </si>
  <si>
    <t>Vỏ lãi 8.1 mét</t>
  </si>
  <si>
    <t>Thùng đồ nghễ cũ</t>
  </si>
  <si>
    <t>Đốt cần xe cẩu</t>
  </si>
  <si>
    <t>Cây nối vuông ép âm</t>
  </si>
  <si>
    <t>2,3m x 25 x 20cm</t>
  </si>
  <si>
    <t>Sắt cây phi 25</t>
  </si>
  <si>
    <t>Sắt cây phi 21 nối 11,7</t>
  </si>
  <si>
    <t>Sắt cây phi 21 nôis 9 m</t>
  </si>
  <si>
    <t>Búa đục thuỷ lực</t>
  </si>
  <si>
    <t>Thép 8 cuônj đã dùng</t>
  </si>
  <si>
    <t>khoảng 1 tấn</t>
  </si>
  <si>
    <t>Thép 8 đã ra đai</t>
  </si>
  <si>
    <t>khoảng 300 nhỏ 300 lớn</t>
  </si>
  <si>
    <t>Cọc bê tông thân 2 hộp</t>
  </si>
  <si>
    <t>Cọc bê tông thân 1 hộp</t>
  </si>
  <si>
    <t>Hàng rao công trình</t>
  </si>
  <si>
    <t>dày 18-20mm, 1,5 mét x 6 mét</t>
  </si>
  <si>
    <t>dày 10-15mm, 1,5 mét x 6 mét</t>
  </si>
  <si>
    <t>Dây dùi máy bê tông</t>
  </si>
  <si>
    <t>dày 7 cmx55.55 cm</t>
  </si>
  <si>
    <t>Hôm nay, ngày  14 tháng  1 năm 2025.                 Tại:   THỐT NỐT                            Chúng tôi gồm: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</si>
</sst>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41" formatCode="_(* #,##0_);_(* \(#,##0\);_(* &quot;-&quot;_);_(@_)"/>
  </numFmts>
  <fonts count="19" x14ac:knownFonts="1">
    <font>
      <sz val="12"/>
      <color theme="1"/>
      <name val="Calibri"/>
      <family val="2"/>
      <scheme val="minor"/>
    </font>
    <font>
      <sz val="12"/>
      <color theme="1"/>
      <name val="Times New Roman"/>
      <family val="1"/>
    </font>
    <font>
      <sz val="12"/>
      <color theme="1"/>
      <name val="Calibri"/>
      <family val="2"/>
      <scheme val="minor"/>
    </font>
    <font>
      <sz val="14"/>
      <color theme="1"/>
      <name val="Times New Roman"/>
      <family val="1"/>
    </font>
    <font>
      <sz val="13"/>
      <color theme="1"/>
      <name val="Calibri"/>
      <family val="2"/>
      <scheme val="minor"/>
    </font>
    <font>
      <sz val="13"/>
      <color theme="1"/>
      <name val="Times New Roman"/>
      <family val="1"/>
    </font>
    <font>
      <b/>
      <sz val="19"/>
      <color theme="1"/>
      <name val="Times New Roman"/>
      <family val="1"/>
    </font>
    <font>
      <b/>
      <sz val="14"/>
      <color theme="1"/>
      <name val="Times New Roman"/>
      <family val="1"/>
    </font>
    <font>
      <sz val="8"/>
      <name val="Calibri"/>
      <family val="2"/>
      <scheme val="minor"/>
    </font>
    <font>
      <sz val="10"/>
      <color rgb="FF000000"/>
      <name val="Tahoma"/>
      <family val="2"/>
    </font>
    <font>
      <b/>
      <sz val="10"/>
      <color rgb="FF000000"/>
      <name val="Tahoma"/>
      <family val="2"/>
    </font>
    <font>
      <sz val="15"/>
      <color theme="1"/>
      <name val="Times New Roman"/>
      <family val="1"/>
    </font>
    <font>
      <b/>
      <sz val="15"/>
      <color theme="1"/>
      <name val="Times New Roman"/>
      <family val="1"/>
    </font>
    <font>
      <b/>
      <sz val="12"/>
      <color theme="1"/>
      <name val="Times New Roman"/>
      <family val="1"/>
    </font>
    <font>
      <b/>
      <sz val="10"/>
      <color theme="1"/>
      <name val="Calibri"/>
      <family val="2"/>
      <scheme val="minor"/>
    </font>
    <font>
      <sz val="10"/>
      <color theme="1"/>
      <name val="Calibri"/>
      <family val="2"/>
      <scheme val="minor"/>
    </font>
    <font>
      <sz val="10"/>
      <color theme="1"/>
      <name val="Times New Roman"/>
      <family val="1"/>
    </font>
    <font>
      <sz val="12"/>
      <color theme="0"/>
      <name val="Times New Roman"/>
      <family val="1"/>
    </font>
    <font>
      <b/>
      <i/>
      <sz val="12"/>
      <color rgb="FFFF0000"/>
      <name val="Times New Roman"/>
      <family val="1"/>
    </font>
  </fonts>
  <fills count="2">
    <fill>
      <patternFill patternType="none"/>
    </fill>
    <fill>
      <patternFill patternType="gray125"/>
    </fill>
  </fills>
  <borders count="14">
    <border>
      <left/>
      <right/>
      <top/>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
      <left/>
      <right style="thin">
        <color indexed="64"/>
      </right>
      <top/>
      <bottom/>
      <diagonal/>
    </border>
  </borders>
  <cellStyleXfs count="3">
    <xf numFmtId="0" fontId="0" fillId="0" borderId="0"/>
    <xf numFmtId="42" fontId="2" fillId="0" borderId="0" applyFont="0" applyFill="0" applyBorder="0" applyAlignment="0" applyProtection="0"/>
    <xf numFmtId="41" fontId="2" fillId="0" borderId="0" applyFont="0" applyFill="0" applyBorder="0" applyAlignment="0" applyProtection="0"/>
  </cellStyleXfs>
  <cellXfs count="116">
    <xf numFmtId="0" fontId="0" fillId="0" borderId="0" xfId="0"/>
    <xf numFmtId="0" fontId="0" fillId="0" borderId="0" xfId="0" applyAlignment="1">
      <alignment horizontal="center" vertical="center"/>
    </xf>
    <xf numFmtId="0" fontId="1" fillId="0" borderId="0" xfId="0" applyFont="1"/>
    <xf numFmtId="0" fontId="3" fillId="0" borderId="0" xfId="0" applyFont="1"/>
    <xf numFmtId="0" fontId="4" fillId="0" borderId="0" xfId="0" applyFont="1"/>
    <xf numFmtId="0" fontId="5" fillId="0" borderId="0" xfId="0" applyFont="1"/>
    <xf numFmtId="0" fontId="0" fillId="0" borderId="0" xfId="0" applyFont="1"/>
    <xf numFmtId="0" fontId="3" fillId="0" borderId="0"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1" fillId="0" borderId="4" xfId="0" applyFont="1" applyBorder="1" applyAlignment="1">
      <alignment horizontal="center" vertical="center"/>
    </xf>
    <xf numFmtId="0" fontId="11" fillId="0" borderId="4" xfId="0" applyFont="1" applyBorder="1" applyAlignment="1">
      <alignment horizontal="left" vertical="center" wrapText="1"/>
    </xf>
    <xf numFmtId="0" fontId="11" fillId="0" borderId="4" xfId="0" applyFont="1" applyBorder="1" applyAlignment="1">
      <alignment horizontal="center" vertical="center" wrapText="1"/>
    </xf>
    <xf numFmtId="3" fontId="11" fillId="0" borderId="4" xfId="0" applyNumberFormat="1" applyFont="1" applyBorder="1" applyAlignment="1">
      <alignment horizontal="right" vertical="center"/>
    </xf>
    <xf numFmtId="3" fontId="11" fillId="0" borderId="4" xfId="1" applyNumberFormat="1" applyFont="1" applyBorder="1" applyAlignment="1">
      <alignment vertical="center"/>
    </xf>
    <xf numFmtId="0" fontId="11" fillId="0" borderId="3" xfId="0" applyFont="1" applyBorder="1" applyAlignment="1">
      <alignment horizontal="center" vertical="center"/>
    </xf>
    <xf numFmtId="0" fontId="11" fillId="0" borderId="3" xfId="0" applyFont="1" applyBorder="1" applyAlignment="1">
      <alignment horizontal="left" vertical="center" wrapText="1"/>
    </xf>
    <xf numFmtId="0" fontId="11" fillId="0" borderId="3" xfId="0" applyFont="1" applyBorder="1" applyAlignment="1">
      <alignment horizontal="center" vertical="center" wrapText="1"/>
    </xf>
    <xf numFmtId="3" fontId="11" fillId="0" borderId="3" xfId="0" applyNumberFormat="1" applyFont="1" applyBorder="1" applyAlignment="1">
      <alignment horizontal="right" vertical="center"/>
    </xf>
    <xf numFmtId="3" fontId="11" fillId="0" borderId="3" xfId="1" applyNumberFormat="1" applyFont="1" applyBorder="1" applyAlignment="1">
      <alignment vertical="center"/>
    </xf>
    <xf numFmtId="0" fontId="11" fillId="0" borderId="3" xfId="0" applyFont="1" applyBorder="1" applyAlignment="1">
      <alignment horizontal="left" vertical="center"/>
    </xf>
    <xf numFmtId="3" fontId="11" fillId="0" borderId="3" xfId="0" applyNumberFormat="1" applyFont="1" applyBorder="1" applyAlignment="1">
      <alignment vertical="center"/>
    </xf>
    <xf numFmtId="3" fontId="12" fillId="0" borderId="5" xfId="0" applyNumberFormat="1" applyFont="1" applyBorder="1"/>
    <xf numFmtId="0" fontId="11" fillId="0" borderId="0" xfId="0" applyFont="1"/>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8" xfId="0" applyFont="1" applyBorder="1" applyAlignment="1">
      <alignment horizontal="left" vertical="center" wrapText="1"/>
    </xf>
    <xf numFmtId="0" fontId="11" fillId="0" borderId="8" xfId="0" applyFont="1" applyBorder="1" applyAlignment="1">
      <alignment horizontal="center" vertical="center" wrapText="1"/>
    </xf>
    <xf numFmtId="3" fontId="11" fillId="0" borderId="8" xfId="0" applyNumberFormat="1" applyFont="1" applyBorder="1" applyAlignment="1">
      <alignment horizontal="right" vertical="center"/>
    </xf>
    <xf numFmtId="3" fontId="11" fillId="0" borderId="8" xfId="1" applyNumberFormat="1" applyFont="1" applyBorder="1" applyAlignment="1">
      <alignment vertical="center"/>
    </xf>
    <xf numFmtId="41" fontId="0" fillId="0" borderId="0" xfId="2" applyFont="1"/>
    <xf numFmtId="0" fontId="11" fillId="0" borderId="0" xfId="0" applyFont="1" applyBorder="1"/>
    <xf numFmtId="0" fontId="1" fillId="0" borderId="4" xfId="0" applyFont="1" applyBorder="1" applyAlignment="1">
      <alignment horizontal="center" vertical="center"/>
    </xf>
    <xf numFmtId="0" fontId="1" fillId="0" borderId="4" xfId="0" applyFont="1" applyBorder="1" applyAlignment="1">
      <alignment horizontal="left" vertical="center" wrapText="1"/>
    </xf>
    <xf numFmtId="0" fontId="1" fillId="0" borderId="4" xfId="0" applyFont="1" applyBorder="1" applyAlignment="1">
      <alignment horizontal="center" vertical="center" wrapText="1"/>
    </xf>
    <xf numFmtId="3" fontId="1" fillId="0" borderId="4" xfId="0" applyNumberFormat="1" applyFont="1" applyBorder="1" applyAlignment="1">
      <alignment horizontal="right" vertical="center"/>
    </xf>
    <xf numFmtId="3" fontId="1" fillId="0" borderId="4" xfId="1" applyNumberFormat="1" applyFont="1" applyBorder="1" applyAlignment="1">
      <alignment vertical="center"/>
    </xf>
    <xf numFmtId="0" fontId="1" fillId="0" borderId="3" xfId="0" applyFont="1" applyBorder="1" applyAlignment="1">
      <alignment horizontal="center" vertical="center"/>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3" fontId="1" fillId="0" borderId="3" xfId="0" applyNumberFormat="1" applyFont="1" applyBorder="1" applyAlignment="1">
      <alignment horizontal="right" vertical="center"/>
    </xf>
    <xf numFmtId="3" fontId="1" fillId="0" borderId="3" xfId="1" applyNumberFormat="1" applyFont="1" applyBorder="1" applyAlignment="1">
      <alignment vertical="center"/>
    </xf>
    <xf numFmtId="0" fontId="1" fillId="0" borderId="8" xfId="0" applyFont="1" applyBorder="1" applyAlignment="1">
      <alignment horizontal="center" vertical="center"/>
    </xf>
    <xf numFmtId="0" fontId="1" fillId="0" borderId="8" xfId="0" applyFont="1" applyBorder="1" applyAlignment="1">
      <alignment horizontal="left" vertical="center" wrapText="1"/>
    </xf>
    <xf numFmtId="0" fontId="1" fillId="0" borderId="8" xfId="0" applyFont="1" applyBorder="1" applyAlignment="1">
      <alignment horizontal="center" vertical="center" wrapText="1"/>
    </xf>
    <xf numFmtId="3" fontId="1" fillId="0" borderId="8" xfId="0" applyNumberFormat="1" applyFont="1" applyBorder="1" applyAlignment="1">
      <alignment horizontal="right" vertical="center"/>
    </xf>
    <xf numFmtId="3" fontId="1" fillId="0" borderId="8" xfId="1" applyNumberFormat="1" applyFont="1" applyBorder="1" applyAlignment="1">
      <alignment vertical="center"/>
    </xf>
    <xf numFmtId="0" fontId="1" fillId="0" borderId="3" xfId="0" applyFont="1" applyBorder="1" applyAlignment="1">
      <alignment horizontal="left" vertical="center"/>
    </xf>
    <xf numFmtId="3" fontId="1" fillId="0" borderId="3" xfId="0" applyNumberFormat="1" applyFont="1" applyBorder="1" applyAlignment="1">
      <alignment vertical="center"/>
    </xf>
    <xf numFmtId="0" fontId="1" fillId="0" borderId="11" xfId="0" applyFont="1" applyBorder="1" applyAlignment="1">
      <alignment horizontal="center" vertical="center"/>
    </xf>
    <xf numFmtId="0" fontId="1" fillId="0" borderId="11" xfId="0" applyFont="1" applyBorder="1" applyAlignment="1">
      <alignment horizontal="left" vertical="center" wrapText="1"/>
    </xf>
    <xf numFmtId="3" fontId="1" fillId="0" borderId="11" xfId="0" applyNumberFormat="1" applyFont="1" applyBorder="1" applyAlignment="1">
      <alignment vertical="center"/>
    </xf>
    <xf numFmtId="3" fontId="1" fillId="0" borderId="11" xfId="0" applyNumberFormat="1" applyFont="1" applyBorder="1" applyAlignment="1">
      <alignment horizontal="right" vertical="center"/>
    </xf>
    <xf numFmtId="3" fontId="1" fillId="0" borderId="11" xfId="1" applyNumberFormat="1" applyFont="1" applyBorder="1" applyAlignment="1">
      <alignment vertical="center"/>
    </xf>
    <xf numFmtId="0" fontId="0" fillId="0" borderId="10" xfId="0" applyFont="1" applyBorder="1"/>
    <xf numFmtId="3" fontId="1" fillId="0" borderId="3" xfId="1" applyNumberFormat="1" applyFont="1" applyFill="1" applyBorder="1" applyAlignment="1">
      <alignment vertical="center"/>
    </xf>
    <xf numFmtId="41" fontId="0" fillId="0" borderId="0" xfId="0" applyNumberFormat="1" applyFont="1"/>
    <xf numFmtId="3" fontId="1" fillId="0" borderId="9" xfId="1" applyNumberFormat="1" applyFont="1" applyFill="1" applyBorder="1" applyAlignment="1">
      <alignment vertical="center"/>
    </xf>
    <xf numFmtId="0" fontId="1" fillId="0" borderId="0" xfId="0" applyFont="1" applyAlignment="1">
      <alignment horizontal="center" vertical="center"/>
    </xf>
    <xf numFmtId="0" fontId="13" fillId="0" borderId="0" xfId="0" applyFont="1" applyAlignment="1">
      <alignment vertical="center"/>
    </xf>
    <xf numFmtId="0" fontId="0" fillId="0" borderId="3" xfId="0" applyFont="1" applyBorder="1"/>
    <xf numFmtId="0" fontId="1" fillId="0" borderId="3" xfId="0" applyFont="1" applyFill="1" applyBorder="1" applyAlignment="1">
      <alignment horizontal="center" vertical="center"/>
    </xf>
    <xf numFmtId="41" fontId="0" fillId="0" borderId="3" xfId="2" applyFont="1" applyBorder="1"/>
    <xf numFmtId="41" fontId="0" fillId="0" borderId="3" xfId="0" applyNumberFormat="1" applyFont="1" applyBorder="1"/>
    <xf numFmtId="0" fontId="0" fillId="0" borderId="12" xfId="0" applyFont="1" applyBorder="1"/>
    <xf numFmtId="41" fontId="0" fillId="0" borderId="12" xfId="2" applyFont="1" applyBorder="1"/>
    <xf numFmtId="41" fontId="1" fillId="0" borderId="8" xfId="2" applyFont="1" applyBorder="1" applyAlignment="1">
      <alignment horizontal="right" vertical="center"/>
    </xf>
    <xf numFmtId="41" fontId="1" fillId="0" borderId="8" xfId="2" applyFont="1" applyBorder="1" applyAlignment="1">
      <alignment vertical="center"/>
    </xf>
    <xf numFmtId="41" fontId="1" fillId="0" borderId="3" xfId="2" applyFont="1" applyBorder="1" applyAlignment="1">
      <alignment horizontal="right" vertical="center"/>
    </xf>
    <xf numFmtId="0" fontId="1" fillId="0" borderId="11" xfId="0" applyFont="1" applyBorder="1" applyAlignment="1">
      <alignment horizontal="left" vertical="center"/>
    </xf>
    <xf numFmtId="41" fontId="1" fillId="0" borderId="11" xfId="2" applyFont="1" applyBorder="1" applyAlignment="1">
      <alignment horizontal="right" vertical="center"/>
    </xf>
    <xf numFmtId="0" fontId="1" fillId="0" borderId="8" xfId="0" applyFont="1" applyBorder="1" applyAlignment="1">
      <alignment horizontal="left" vertical="center"/>
    </xf>
    <xf numFmtId="41" fontId="1" fillId="0" borderId="3" xfId="2" applyFont="1" applyBorder="1" applyAlignment="1">
      <alignment vertical="center"/>
    </xf>
    <xf numFmtId="0" fontId="1" fillId="0" borderId="3" xfId="0" applyFont="1" applyFill="1" applyBorder="1" applyAlignment="1">
      <alignment horizontal="left" vertical="center" wrapText="1"/>
    </xf>
    <xf numFmtId="41" fontId="1" fillId="0" borderId="3" xfId="2" applyFont="1" applyFill="1" applyBorder="1" applyAlignment="1">
      <alignment horizontal="right" vertical="center"/>
    </xf>
    <xf numFmtId="0" fontId="1" fillId="0" borderId="1" xfId="0" applyFont="1" applyBorder="1" applyAlignment="1">
      <alignment vertical="top" wrapText="1"/>
    </xf>
    <xf numFmtId="0" fontId="11" fillId="0" borderId="0" xfId="0" applyFont="1" applyAlignment="1">
      <alignment horizontal="center"/>
    </xf>
    <xf numFmtId="0" fontId="0" fillId="0" borderId="9" xfId="0" applyFont="1" applyBorder="1"/>
    <xf numFmtId="3" fontId="1" fillId="0" borderId="4" xfId="1" applyNumberFormat="1" applyFont="1" applyBorder="1" applyAlignment="1">
      <alignment horizontal="center" vertical="center"/>
    </xf>
    <xf numFmtId="3" fontId="1" fillId="0" borderId="3" xfId="1" applyNumberFormat="1" applyFont="1" applyBorder="1" applyAlignment="1">
      <alignment horizontal="center" vertical="center"/>
    </xf>
    <xf numFmtId="3" fontId="1" fillId="0" borderId="8" xfId="1" applyNumberFormat="1" applyFont="1" applyBorder="1" applyAlignment="1">
      <alignment horizontal="center" vertical="center"/>
    </xf>
    <xf numFmtId="3" fontId="1" fillId="0" borderId="11" xfId="1" applyNumberFormat="1" applyFont="1" applyBorder="1" applyAlignment="1">
      <alignment horizontal="center" vertical="center"/>
    </xf>
    <xf numFmtId="3" fontId="13" fillId="0" borderId="3" xfId="1" applyNumberFormat="1" applyFont="1" applyBorder="1" applyAlignment="1">
      <alignment horizontal="center" vertical="center"/>
    </xf>
    <xf numFmtId="3" fontId="1" fillId="0" borderId="3" xfId="1" applyNumberFormat="1" applyFont="1" applyFill="1" applyBorder="1" applyAlignment="1">
      <alignment horizontal="center" vertical="center"/>
    </xf>
    <xf numFmtId="3" fontId="1" fillId="0" borderId="12" xfId="1" applyNumberFormat="1" applyFont="1" applyFill="1" applyBorder="1" applyAlignment="1">
      <alignment horizontal="center" vertical="center"/>
    </xf>
    <xf numFmtId="3" fontId="1" fillId="0" borderId="9" xfId="1" applyNumberFormat="1" applyFont="1" applyFill="1" applyBorder="1" applyAlignment="1">
      <alignment horizontal="center" vertical="center"/>
    </xf>
    <xf numFmtId="0" fontId="0" fillId="0" borderId="0" xfId="0" applyAlignment="1">
      <alignment horizontal="center"/>
    </xf>
    <xf numFmtId="0" fontId="0" fillId="0" borderId="3" xfId="0" applyFont="1" applyBorder="1" applyAlignment="1">
      <alignment horizontal="center"/>
    </xf>
    <xf numFmtId="0" fontId="0" fillId="0" borderId="12" xfId="0" applyFont="1" applyBorder="1" applyAlignment="1">
      <alignment horizontal="center"/>
    </xf>
    <xf numFmtId="0" fontId="1" fillId="0" borderId="0" xfId="0" applyFont="1" applyAlignment="1">
      <alignment horizontal="center"/>
    </xf>
    <xf numFmtId="0" fontId="0" fillId="0" borderId="0" xfId="0" applyFont="1" applyAlignment="1">
      <alignment horizontal="center"/>
    </xf>
    <xf numFmtId="41" fontId="14" fillId="0" borderId="12" xfId="0" applyNumberFormat="1" applyFont="1" applyBorder="1"/>
    <xf numFmtId="41" fontId="15" fillId="0" borderId="3" xfId="2" applyFont="1" applyBorder="1"/>
    <xf numFmtId="41" fontId="15" fillId="0" borderId="3" xfId="0" applyNumberFormat="1" applyFont="1" applyBorder="1"/>
    <xf numFmtId="41" fontId="16" fillId="0" borderId="9" xfId="2" applyFont="1" applyFill="1" applyBorder="1" applyAlignment="1">
      <alignment horizontal="right" vertical="center"/>
    </xf>
    <xf numFmtId="0" fontId="17" fillId="0" borderId="0" xfId="0" applyFont="1" applyAlignment="1">
      <alignment vertical="center"/>
    </xf>
    <xf numFmtId="0" fontId="12" fillId="0" borderId="0" xfId="0" applyFont="1" applyAlignment="1">
      <alignment horizontal="center" vertical="center"/>
    </xf>
    <xf numFmtId="0" fontId="11" fillId="0" borderId="0" xfId="0" applyFont="1" applyAlignment="1">
      <alignment horizontal="left"/>
    </xf>
    <xf numFmtId="0" fontId="11" fillId="0" borderId="0" xfId="0" applyFont="1" applyAlignment="1">
      <alignment horizontal="center"/>
    </xf>
    <xf numFmtId="0" fontId="13" fillId="0" borderId="0" xfId="0" applyFont="1" applyBorder="1" applyAlignment="1">
      <alignment horizontal="left" vertical="top" wrapText="1"/>
    </xf>
    <xf numFmtId="0" fontId="13" fillId="0" borderId="0" xfId="0" applyFont="1" applyBorder="1" applyAlignment="1">
      <alignment horizontal="center" vertical="top" wrapText="1"/>
    </xf>
    <xf numFmtId="0" fontId="13" fillId="0" borderId="0" xfId="0" applyFont="1" applyAlignment="1">
      <alignment horizontal="center" vertical="center"/>
    </xf>
    <xf numFmtId="0" fontId="12" fillId="0" borderId="0" xfId="0" applyFont="1" applyAlignment="1">
      <alignment horizontal="left"/>
    </xf>
    <xf numFmtId="0" fontId="12" fillId="0" borderId="0" xfId="0" applyFont="1" applyAlignment="1">
      <alignment horizontal="center"/>
    </xf>
    <xf numFmtId="0" fontId="13" fillId="0" borderId="0" xfId="0" applyFont="1" applyAlignment="1">
      <alignment horizontal="center" vertical="center" wrapText="1"/>
    </xf>
    <xf numFmtId="0" fontId="13" fillId="0" borderId="13" xfId="0" applyFont="1" applyBorder="1" applyAlignment="1">
      <alignment horizontal="center" vertical="center" wrapText="1"/>
    </xf>
    <xf numFmtId="0" fontId="7" fillId="0" borderId="0" xfId="0" applyFont="1" applyAlignment="1">
      <alignment horizontal="left"/>
    </xf>
    <xf numFmtId="0" fontId="6" fillId="0" borderId="0" xfId="0" applyFont="1" applyAlignment="1">
      <alignment horizontal="center" vertical="center"/>
    </xf>
    <xf numFmtId="0" fontId="7" fillId="0" borderId="0" xfId="0" applyFont="1" applyAlignment="1">
      <alignment horizontal="center" vertical="center"/>
    </xf>
    <xf numFmtId="0" fontId="3" fillId="0" borderId="0" xfId="0" applyFont="1" applyAlignment="1">
      <alignment horizontal="left"/>
    </xf>
    <xf numFmtId="0" fontId="12" fillId="0" borderId="6" xfId="0" applyFont="1" applyBorder="1" applyAlignment="1">
      <alignment horizontal="left" vertical="center"/>
    </xf>
    <xf numFmtId="0" fontId="12" fillId="0" borderId="2" xfId="0" applyFont="1" applyBorder="1" applyAlignment="1">
      <alignment horizontal="left" vertical="center"/>
    </xf>
    <xf numFmtId="0" fontId="12" fillId="0" borderId="7" xfId="0" applyFont="1" applyBorder="1" applyAlignment="1">
      <alignment horizontal="left" vertical="center"/>
    </xf>
    <xf numFmtId="0" fontId="12" fillId="0" borderId="1" xfId="0" applyFont="1" applyBorder="1" applyAlignment="1">
      <alignment horizontal="left" vertical="top" wrapText="1"/>
    </xf>
    <xf numFmtId="0" fontId="18" fillId="0" borderId="0" xfId="0" applyFont="1" applyAlignment="1">
      <alignment horizontal="right"/>
    </xf>
    <xf numFmtId="0" fontId="18" fillId="0" borderId="0" xfId="0" applyFont="1" applyAlignment="1">
      <alignment horizontal="center"/>
    </xf>
  </cellXfs>
  <cellStyles count="3">
    <cellStyle name="Comma [0]" xfId="2" builtinId="6"/>
    <cellStyle name="Currency [0]" xfId="1" builtinId="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30C70-2BBD-D545-BEA5-B3E85F002F88}">
  <sheetPr filterMode="1"/>
  <dimension ref="A1:O202"/>
  <sheetViews>
    <sheetView tabSelected="1" topLeftCell="A161" zoomScale="80" zoomScaleNormal="80" workbookViewId="0">
      <selection activeCell="I170" sqref="I170"/>
    </sheetView>
  </sheetViews>
  <sheetFormatPr baseColWidth="10" defaultRowHeight="16" x14ac:dyDescent="0.2"/>
  <cols>
    <col min="1" max="1" width="2" customWidth="1"/>
    <col min="2" max="2" width="4.83203125" customWidth="1"/>
    <col min="3" max="3" width="23" customWidth="1"/>
    <col min="4" max="4" width="16.83203125" customWidth="1"/>
    <col min="5" max="5" width="7" style="86" customWidth="1"/>
    <col min="6" max="6" width="5.6640625" style="86" customWidth="1"/>
    <col min="7" max="8" width="12.83203125" customWidth="1"/>
    <col min="9" max="9" width="6.33203125" style="86" customWidth="1"/>
    <col min="12" max="12" width="21.33203125" customWidth="1"/>
  </cols>
  <sheetData>
    <row r="1" spans="1:15" ht="31" customHeight="1" x14ac:dyDescent="0.2">
      <c r="B1" s="96" t="s">
        <v>67</v>
      </c>
      <c r="C1" s="96"/>
      <c r="D1" s="96"/>
      <c r="E1" s="96"/>
      <c r="F1" s="96"/>
      <c r="G1" s="96"/>
      <c r="H1" s="96"/>
      <c r="I1" s="96"/>
    </row>
    <row r="2" spans="1:15" ht="31" customHeight="1" x14ac:dyDescent="0.2">
      <c r="A2" s="4"/>
      <c r="B2" s="96" t="s">
        <v>4</v>
      </c>
      <c r="C2" s="96"/>
      <c r="D2" s="96"/>
      <c r="E2" s="96"/>
      <c r="F2" s="96"/>
      <c r="G2" s="96"/>
      <c r="H2" s="96"/>
      <c r="I2" s="96"/>
    </row>
    <row r="3" spans="1:15" ht="29" customHeight="1" x14ac:dyDescent="0.2">
      <c r="A3" s="4"/>
      <c r="B3" s="114" t="s">
        <v>252</v>
      </c>
      <c r="C3" s="114"/>
      <c r="D3" s="114"/>
      <c r="E3" s="115"/>
      <c r="F3" s="115"/>
      <c r="G3" s="114"/>
      <c r="H3" s="114"/>
      <c r="I3" s="115"/>
    </row>
    <row r="4" spans="1:15" ht="22" customHeight="1" x14ac:dyDescent="0.2">
      <c r="A4" s="4"/>
      <c r="B4" s="97" t="s">
        <v>134</v>
      </c>
      <c r="C4" s="97"/>
      <c r="D4" s="97"/>
      <c r="E4" s="98"/>
      <c r="F4" s="98"/>
      <c r="G4" s="97"/>
      <c r="H4" s="97"/>
      <c r="I4" s="98"/>
    </row>
    <row r="5" spans="1:15" ht="22" customHeight="1" x14ac:dyDescent="0.2">
      <c r="A5" s="4"/>
      <c r="B5" s="97" t="s">
        <v>135</v>
      </c>
      <c r="C5" s="97"/>
      <c r="D5" s="97"/>
      <c r="E5" s="98"/>
      <c r="F5" s="98"/>
      <c r="G5" s="97"/>
      <c r="H5" s="97"/>
      <c r="I5" s="98"/>
    </row>
    <row r="6" spans="1:15" ht="22" customHeight="1" x14ac:dyDescent="0.2">
      <c r="A6" s="4"/>
      <c r="B6" s="102" t="s">
        <v>46</v>
      </c>
      <c r="C6" s="102"/>
      <c r="D6" s="102"/>
      <c r="E6" s="103"/>
      <c r="F6" s="103"/>
      <c r="G6" s="102"/>
      <c r="H6" s="102"/>
      <c r="I6" s="103"/>
    </row>
    <row r="7" spans="1:15" ht="8" customHeight="1" thickBot="1" x14ac:dyDescent="0.25">
      <c r="A7" s="4"/>
      <c r="B7" s="31"/>
      <c r="C7" s="31"/>
      <c r="D7" s="23"/>
      <c r="E7" s="76"/>
      <c r="F7" s="76"/>
      <c r="G7" s="23"/>
      <c r="H7" s="23"/>
      <c r="I7" s="76"/>
    </row>
    <row r="8" spans="1:15" ht="21" thickBot="1" x14ac:dyDescent="0.25">
      <c r="A8" s="4"/>
      <c r="B8" s="8" t="s">
        <v>47</v>
      </c>
      <c r="C8" s="8" t="s">
        <v>0</v>
      </c>
      <c r="D8" s="9" t="s">
        <v>2</v>
      </c>
      <c r="E8" s="8" t="s">
        <v>13</v>
      </c>
      <c r="F8" s="9" t="s">
        <v>12</v>
      </c>
      <c r="G8" s="9" t="s">
        <v>1</v>
      </c>
      <c r="H8" s="8" t="s">
        <v>78</v>
      </c>
      <c r="I8" s="8" t="s">
        <v>68</v>
      </c>
      <c r="J8" s="1"/>
      <c r="L8" s="4"/>
    </row>
    <row r="9" spans="1:15" ht="34" hidden="1" x14ac:dyDescent="0.2">
      <c r="A9" s="6"/>
      <c r="B9" s="32">
        <v>1</v>
      </c>
      <c r="C9" s="33" t="s">
        <v>11</v>
      </c>
      <c r="D9" s="33" t="s">
        <v>248</v>
      </c>
      <c r="E9" s="34" t="s">
        <v>15</v>
      </c>
      <c r="F9" s="34">
        <v>14</v>
      </c>
      <c r="G9" s="35">
        <v>18000000</v>
      </c>
      <c r="H9" s="36">
        <f t="shared" ref="H9:H40" si="0">F9*G9</f>
        <v>252000000</v>
      </c>
      <c r="I9" s="78" t="s">
        <v>69</v>
      </c>
      <c r="O9" s="6"/>
    </row>
    <row r="10" spans="1:15" ht="48" hidden="1" customHeight="1" thickBot="1" x14ac:dyDescent="0.2">
      <c r="A10" s="6"/>
      <c r="B10" s="37">
        <v>2</v>
      </c>
      <c r="C10" s="38" t="s">
        <v>16</v>
      </c>
      <c r="D10" s="33" t="s">
        <v>248</v>
      </c>
      <c r="E10" s="39" t="s">
        <v>15</v>
      </c>
      <c r="F10" s="39">
        <v>4</v>
      </c>
      <c r="G10" s="40">
        <v>18000000</v>
      </c>
      <c r="H10" s="40">
        <f t="shared" si="0"/>
        <v>72000000</v>
      </c>
      <c r="I10" s="79" t="s">
        <v>69</v>
      </c>
    </row>
    <row r="11" spans="1:15" ht="38" hidden="1" customHeight="1" x14ac:dyDescent="0.2">
      <c r="A11" s="6"/>
      <c r="B11" s="42">
        <v>3</v>
      </c>
      <c r="C11" s="43" t="s">
        <v>82</v>
      </c>
      <c r="D11" s="33" t="s">
        <v>248</v>
      </c>
      <c r="E11" s="44" t="s">
        <v>15</v>
      </c>
      <c r="F11" s="44">
        <v>9</v>
      </c>
      <c r="G11" s="45">
        <v>14000000</v>
      </c>
      <c r="H11" s="46">
        <f t="shared" si="0"/>
        <v>126000000</v>
      </c>
      <c r="I11" s="80" t="s">
        <v>69</v>
      </c>
    </row>
    <row r="12" spans="1:15" ht="43" hidden="1" customHeight="1" x14ac:dyDescent="0.2">
      <c r="A12" s="6"/>
      <c r="B12" s="37">
        <v>4</v>
      </c>
      <c r="C12" s="38" t="s">
        <v>83</v>
      </c>
      <c r="D12" s="38" t="s">
        <v>249</v>
      </c>
      <c r="E12" s="39" t="s">
        <v>15</v>
      </c>
      <c r="F12" s="39">
        <v>5</v>
      </c>
      <c r="G12" s="40">
        <v>14000000</v>
      </c>
      <c r="H12" s="40">
        <f t="shared" si="0"/>
        <v>70000000</v>
      </c>
      <c r="I12" s="79" t="s">
        <v>69</v>
      </c>
    </row>
    <row r="13" spans="1:15" ht="116" hidden="1" customHeight="1" x14ac:dyDescent="0.2">
      <c r="A13" s="6"/>
      <c r="B13" s="42">
        <v>5</v>
      </c>
      <c r="C13" s="47" t="s">
        <v>43</v>
      </c>
      <c r="D13" s="38" t="s">
        <v>42</v>
      </c>
      <c r="E13" s="37" t="s">
        <v>18</v>
      </c>
      <c r="F13" s="37">
        <v>1</v>
      </c>
      <c r="G13" s="40">
        <v>600000000</v>
      </c>
      <c r="H13" s="40">
        <f t="shared" si="0"/>
        <v>600000000</v>
      </c>
      <c r="I13" s="79" t="s">
        <v>70</v>
      </c>
    </row>
    <row r="14" spans="1:15" ht="51" hidden="1" customHeight="1" x14ac:dyDescent="0.2">
      <c r="A14" s="6"/>
      <c r="B14" s="37">
        <v>6</v>
      </c>
      <c r="C14" s="47" t="s">
        <v>19</v>
      </c>
      <c r="D14" s="38" t="s">
        <v>20</v>
      </c>
      <c r="E14" s="37" t="s">
        <v>21</v>
      </c>
      <c r="F14" s="37">
        <v>39</v>
      </c>
      <c r="G14" s="40">
        <v>5000000</v>
      </c>
      <c r="H14" s="40">
        <f t="shared" si="0"/>
        <v>195000000</v>
      </c>
      <c r="I14" s="79" t="s">
        <v>69</v>
      </c>
    </row>
    <row r="15" spans="1:15" ht="51" hidden="1" x14ac:dyDescent="0.2">
      <c r="A15" s="6"/>
      <c r="B15" s="42">
        <v>7</v>
      </c>
      <c r="C15" s="47" t="s">
        <v>22</v>
      </c>
      <c r="D15" s="38" t="s">
        <v>23</v>
      </c>
      <c r="E15" s="37" t="s">
        <v>24</v>
      </c>
      <c r="F15" s="37">
        <v>1</v>
      </c>
      <c r="G15" s="40">
        <v>3000000</v>
      </c>
      <c r="H15" s="40">
        <f t="shared" si="0"/>
        <v>3000000</v>
      </c>
      <c r="I15" s="79" t="s">
        <v>69</v>
      </c>
    </row>
    <row r="16" spans="1:15" ht="20" hidden="1" customHeight="1" x14ac:dyDescent="0.2">
      <c r="A16" s="6"/>
      <c r="B16" s="37">
        <v>8</v>
      </c>
      <c r="C16" s="47" t="s">
        <v>25</v>
      </c>
      <c r="D16" s="38" t="s">
        <v>26</v>
      </c>
      <c r="E16" s="37" t="s">
        <v>27</v>
      </c>
      <c r="F16" s="37">
        <v>1</v>
      </c>
      <c r="G16" s="40">
        <v>70000000</v>
      </c>
      <c r="H16" s="40">
        <f t="shared" si="0"/>
        <v>70000000</v>
      </c>
      <c r="I16" s="79" t="s">
        <v>69</v>
      </c>
    </row>
    <row r="17" spans="1:9" ht="20" hidden="1" customHeight="1" x14ac:dyDescent="0.2">
      <c r="A17" s="6"/>
      <c r="B17" s="42">
        <v>9</v>
      </c>
      <c r="C17" s="47" t="s">
        <v>28</v>
      </c>
      <c r="D17" s="38" t="s">
        <v>30</v>
      </c>
      <c r="E17" s="37" t="s">
        <v>29</v>
      </c>
      <c r="F17" s="37">
        <v>1</v>
      </c>
      <c r="G17" s="40">
        <v>3000000</v>
      </c>
      <c r="H17" s="40">
        <f t="shared" si="0"/>
        <v>3000000</v>
      </c>
      <c r="I17" s="79" t="s">
        <v>69</v>
      </c>
    </row>
    <row r="18" spans="1:9" ht="20" hidden="1" customHeight="1" x14ac:dyDescent="0.2">
      <c r="A18" s="6"/>
      <c r="B18" s="37">
        <v>10</v>
      </c>
      <c r="C18" s="47" t="s">
        <v>31</v>
      </c>
      <c r="D18" s="38"/>
      <c r="E18" s="37" t="s">
        <v>32</v>
      </c>
      <c r="F18" s="37">
        <v>1</v>
      </c>
      <c r="G18" s="40">
        <v>700000000</v>
      </c>
      <c r="H18" s="40">
        <f t="shared" si="0"/>
        <v>700000000</v>
      </c>
      <c r="I18" s="79" t="s">
        <v>69</v>
      </c>
    </row>
    <row r="19" spans="1:9" ht="20" hidden="1" customHeight="1" x14ac:dyDescent="0.2">
      <c r="A19" s="6"/>
      <c r="B19" s="42">
        <v>11</v>
      </c>
      <c r="C19" s="47" t="s">
        <v>6</v>
      </c>
      <c r="D19" s="38" t="s">
        <v>33</v>
      </c>
      <c r="E19" s="37" t="s">
        <v>8</v>
      </c>
      <c r="F19" s="37">
        <v>2</v>
      </c>
      <c r="G19" s="40">
        <v>3000000</v>
      </c>
      <c r="H19" s="40">
        <f t="shared" si="0"/>
        <v>6000000</v>
      </c>
      <c r="I19" s="79" t="s">
        <v>69</v>
      </c>
    </row>
    <row r="20" spans="1:9" ht="20" hidden="1" customHeight="1" x14ac:dyDescent="0.2">
      <c r="A20" s="6"/>
      <c r="B20" s="37">
        <v>12</v>
      </c>
      <c r="C20" s="47" t="s">
        <v>34</v>
      </c>
      <c r="D20" s="38" t="s">
        <v>33</v>
      </c>
      <c r="E20" s="37" t="s">
        <v>8</v>
      </c>
      <c r="F20" s="37">
        <v>2</v>
      </c>
      <c r="G20" s="48">
        <v>2000000</v>
      </c>
      <c r="H20" s="40">
        <f t="shared" si="0"/>
        <v>4000000</v>
      </c>
      <c r="I20" s="79" t="s">
        <v>69</v>
      </c>
    </row>
    <row r="21" spans="1:9" ht="20" hidden="1" customHeight="1" x14ac:dyDescent="0.2">
      <c r="A21" s="6"/>
      <c r="B21" s="42">
        <v>13</v>
      </c>
      <c r="C21" s="47" t="s">
        <v>5</v>
      </c>
      <c r="D21" s="38" t="s">
        <v>35</v>
      </c>
      <c r="E21" s="37" t="s">
        <v>36</v>
      </c>
      <c r="F21" s="37">
        <v>2</v>
      </c>
      <c r="G21" s="48">
        <v>6000000</v>
      </c>
      <c r="H21" s="40">
        <f t="shared" si="0"/>
        <v>12000000</v>
      </c>
      <c r="I21" s="79" t="s">
        <v>69</v>
      </c>
    </row>
    <row r="22" spans="1:9" ht="20" hidden="1" customHeight="1" x14ac:dyDescent="0.2">
      <c r="A22" s="6"/>
      <c r="B22" s="37">
        <v>14</v>
      </c>
      <c r="C22" s="47" t="s">
        <v>7</v>
      </c>
      <c r="D22" s="38" t="s">
        <v>35</v>
      </c>
      <c r="E22" s="37" t="s">
        <v>36</v>
      </c>
      <c r="F22" s="37">
        <v>2</v>
      </c>
      <c r="G22" s="48">
        <v>6000000</v>
      </c>
      <c r="H22" s="40">
        <f t="shared" si="0"/>
        <v>12000000</v>
      </c>
      <c r="I22" s="79" t="s">
        <v>69</v>
      </c>
    </row>
    <row r="23" spans="1:9" ht="34" hidden="1" x14ac:dyDescent="0.2">
      <c r="A23" s="6"/>
      <c r="B23" s="42">
        <v>15</v>
      </c>
      <c r="C23" s="38" t="s">
        <v>72</v>
      </c>
      <c r="D23" s="38" t="s">
        <v>37</v>
      </c>
      <c r="E23" s="37" t="s">
        <v>18</v>
      </c>
      <c r="F23" s="37">
        <v>2</v>
      </c>
      <c r="G23" s="48">
        <v>3000000</v>
      </c>
      <c r="H23" s="40">
        <f t="shared" si="0"/>
        <v>6000000</v>
      </c>
      <c r="I23" s="79" t="s">
        <v>69</v>
      </c>
    </row>
    <row r="24" spans="1:9" ht="20" hidden="1" customHeight="1" x14ac:dyDescent="0.2">
      <c r="A24" s="6"/>
      <c r="B24" s="37">
        <v>16</v>
      </c>
      <c r="C24" s="38" t="s">
        <v>38</v>
      </c>
      <c r="D24" s="38"/>
      <c r="E24" s="37" t="s">
        <v>39</v>
      </c>
      <c r="F24" s="37">
        <v>3</v>
      </c>
      <c r="G24" s="48">
        <v>80000</v>
      </c>
      <c r="H24" s="40">
        <f t="shared" si="0"/>
        <v>240000</v>
      </c>
      <c r="I24" s="79" t="s">
        <v>69</v>
      </c>
    </row>
    <row r="25" spans="1:9" ht="20" hidden="1" customHeight="1" x14ac:dyDescent="0.2">
      <c r="A25" s="6"/>
      <c r="B25" s="42">
        <v>17</v>
      </c>
      <c r="C25" s="38" t="s">
        <v>40</v>
      </c>
      <c r="D25" s="38" t="s">
        <v>48</v>
      </c>
      <c r="E25" s="37" t="s">
        <v>41</v>
      </c>
      <c r="F25" s="37">
        <v>8</v>
      </c>
      <c r="G25" s="48">
        <v>150000</v>
      </c>
      <c r="H25" s="40">
        <f t="shared" si="0"/>
        <v>1200000</v>
      </c>
      <c r="I25" s="79" t="s">
        <v>69</v>
      </c>
    </row>
    <row r="26" spans="1:9" ht="20" hidden="1" customHeight="1" x14ac:dyDescent="0.2">
      <c r="A26" s="6"/>
      <c r="B26" s="37">
        <v>18</v>
      </c>
      <c r="C26" s="38" t="s">
        <v>49</v>
      </c>
      <c r="D26" s="38"/>
      <c r="E26" s="37" t="s">
        <v>39</v>
      </c>
      <c r="F26" s="37">
        <v>2</v>
      </c>
      <c r="G26" s="48">
        <v>100000</v>
      </c>
      <c r="H26" s="40">
        <f t="shared" si="0"/>
        <v>200000</v>
      </c>
      <c r="I26" s="79" t="s">
        <v>69</v>
      </c>
    </row>
    <row r="27" spans="1:9" ht="20" hidden="1" customHeight="1" x14ac:dyDescent="0.2">
      <c r="A27" s="6"/>
      <c r="B27" s="42">
        <v>19</v>
      </c>
      <c r="C27" s="38" t="s">
        <v>50</v>
      </c>
      <c r="D27" s="38"/>
      <c r="E27" s="37" t="s">
        <v>60</v>
      </c>
      <c r="F27" s="37">
        <v>4</v>
      </c>
      <c r="G27" s="48">
        <v>70000</v>
      </c>
      <c r="H27" s="40">
        <f t="shared" si="0"/>
        <v>280000</v>
      </c>
      <c r="I27" s="79" t="s">
        <v>69</v>
      </c>
    </row>
    <row r="28" spans="1:9" ht="20" hidden="1" customHeight="1" x14ac:dyDescent="0.2">
      <c r="A28" s="6"/>
      <c r="B28" s="37">
        <v>20</v>
      </c>
      <c r="C28" s="38" t="s">
        <v>74</v>
      </c>
      <c r="D28" s="38" t="s">
        <v>73</v>
      </c>
      <c r="E28" s="37" t="s">
        <v>39</v>
      </c>
      <c r="F28" s="37">
        <v>1</v>
      </c>
      <c r="G28" s="48">
        <v>100000</v>
      </c>
      <c r="H28" s="40">
        <f t="shared" si="0"/>
        <v>100000</v>
      </c>
      <c r="I28" s="79" t="s">
        <v>69</v>
      </c>
    </row>
    <row r="29" spans="1:9" ht="20" hidden="1" customHeight="1" x14ac:dyDescent="0.2">
      <c r="A29" s="6"/>
      <c r="B29" s="42">
        <v>21</v>
      </c>
      <c r="C29" s="38" t="s">
        <v>51</v>
      </c>
      <c r="D29" s="38" t="s">
        <v>59</v>
      </c>
      <c r="E29" s="37" t="s">
        <v>39</v>
      </c>
      <c r="F29" s="37">
        <v>1</v>
      </c>
      <c r="G29" s="48">
        <v>300000</v>
      </c>
      <c r="H29" s="40">
        <f t="shared" si="0"/>
        <v>300000</v>
      </c>
      <c r="I29" s="79" t="s">
        <v>69</v>
      </c>
    </row>
    <row r="30" spans="1:9" ht="20" hidden="1" customHeight="1" x14ac:dyDescent="0.2">
      <c r="A30" s="6"/>
      <c r="B30" s="37">
        <v>22</v>
      </c>
      <c r="C30" s="38" t="s">
        <v>52</v>
      </c>
      <c r="D30" s="38"/>
      <c r="E30" s="37" t="s">
        <v>39</v>
      </c>
      <c r="F30" s="37">
        <v>1</v>
      </c>
      <c r="G30" s="48">
        <v>100000</v>
      </c>
      <c r="H30" s="40">
        <f t="shared" si="0"/>
        <v>100000</v>
      </c>
      <c r="I30" s="79" t="s">
        <v>69</v>
      </c>
    </row>
    <row r="31" spans="1:9" ht="20" hidden="1" customHeight="1" x14ac:dyDescent="0.2">
      <c r="A31" s="6"/>
      <c r="B31" s="42">
        <v>23</v>
      </c>
      <c r="C31" s="38" t="s">
        <v>53</v>
      </c>
      <c r="D31" s="38"/>
      <c r="E31" s="37" t="s">
        <v>39</v>
      </c>
      <c r="F31" s="37">
        <v>2</v>
      </c>
      <c r="G31" s="48">
        <v>300000</v>
      </c>
      <c r="H31" s="40">
        <f t="shared" si="0"/>
        <v>600000</v>
      </c>
      <c r="I31" s="79" t="s">
        <v>69</v>
      </c>
    </row>
    <row r="32" spans="1:9" ht="20" hidden="1" customHeight="1" x14ac:dyDescent="0.2">
      <c r="A32" s="6"/>
      <c r="B32" s="49">
        <v>24</v>
      </c>
      <c r="C32" s="50" t="s">
        <v>54</v>
      </c>
      <c r="D32" s="50"/>
      <c r="E32" s="49" t="s">
        <v>10</v>
      </c>
      <c r="F32" s="49">
        <v>1</v>
      </c>
      <c r="G32" s="51">
        <v>500000</v>
      </c>
      <c r="H32" s="52">
        <f t="shared" si="0"/>
        <v>500000</v>
      </c>
      <c r="I32" s="81" t="s">
        <v>69</v>
      </c>
    </row>
    <row r="33" spans="1:9" ht="20" hidden="1" customHeight="1" x14ac:dyDescent="0.2">
      <c r="A33" s="54"/>
      <c r="B33" s="37">
        <v>25</v>
      </c>
      <c r="C33" s="38" t="s">
        <v>55</v>
      </c>
      <c r="D33" s="38"/>
      <c r="E33" s="37" t="s">
        <v>9</v>
      </c>
      <c r="F33" s="37">
        <v>1</v>
      </c>
      <c r="G33" s="48">
        <v>300000</v>
      </c>
      <c r="H33" s="40">
        <f t="shared" si="0"/>
        <v>300000</v>
      </c>
      <c r="I33" s="79" t="s">
        <v>69</v>
      </c>
    </row>
    <row r="34" spans="1:9" ht="20" hidden="1" customHeight="1" x14ac:dyDescent="0.2">
      <c r="A34" s="54"/>
      <c r="B34" s="37">
        <v>26</v>
      </c>
      <c r="C34" s="38" t="s">
        <v>56</v>
      </c>
      <c r="D34" s="38"/>
      <c r="E34" s="37" t="s">
        <v>9</v>
      </c>
      <c r="F34" s="37">
        <v>1</v>
      </c>
      <c r="G34" s="48">
        <v>100000</v>
      </c>
      <c r="H34" s="40">
        <f t="shared" si="0"/>
        <v>100000</v>
      </c>
      <c r="I34" s="79" t="s">
        <v>69</v>
      </c>
    </row>
    <row r="35" spans="1:9" ht="20" hidden="1" customHeight="1" x14ac:dyDescent="0.2">
      <c r="A35" s="54"/>
      <c r="B35" s="37">
        <v>27</v>
      </c>
      <c r="C35" s="38" t="s">
        <v>61</v>
      </c>
      <c r="D35" s="38"/>
      <c r="E35" s="37" t="s">
        <v>9</v>
      </c>
      <c r="F35" s="37">
        <v>1</v>
      </c>
      <c r="G35" s="48">
        <v>50000</v>
      </c>
      <c r="H35" s="40">
        <f t="shared" si="0"/>
        <v>50000</v>
      </c>
      <c r="I35" s="79" t="s">
        <v>69</v>
      </c>
    </row>
    <row r="36" spans="1:9" ht="20" hidden="1" customHeight="1" x14ac:dyDescent="0.2">
      <c r="A36" s="54"/>
      <c r="B36" s="37">
        <v>28</v>
      </c>
      <c r="C36" s="38" t="s">
        <v>57</v>
      </c>
      <c r="D36" s="38"/>
      <c r="E36" s="37" t="s">
        <v>39</v>
      </c>
      <c r="F36" s="37">
        <v>1</v>
      </c>
      <c r="G36" s="48">
        <v>50000</v>
      </c>
      <c r="H36" s="40">
        <f t="shared" si="0"/>
        <v>50000</v>
      </c>
      <c r="I36" s="79" t="s">
        <v>69</v>
      </c>
    </row>
    <row r="37" spans="1:9" ht="20" hidden="1" customHeight="1" x14ac:dyDescent="0.2">
      <c r="A37" s="54"/>
      <c r="B37" s="37">
        <v>29</v>
      </c>
      <c r="C37" s="38" t="s">
        <v>58</v>
      </c>
      <c r="D37" s="38"/>
      <c r="E37" s="37" t="s">
        <v>39</v>
      </c>
      <c r="F37" s="37">
        <v>2</v>
      </c>
      <c r="G37" s="48">
        <v>100000</v>
      </c>
      <c r="H37" s="40">
        <f t="shared" si="0"/>
        <v>200000</v>
      </c>
      <c r="I37" s="79" t="s">
        <v>69</v>
      </c>
    </row>
    <row r="38" spans="1:9" ht="20" hidden="1" customHeight="1" x14ac:dyDescent="0.2">
      <c r="A38" s="54"/>
      <c r="B38" s="37">
        <v>30</v>
      </c>
      <c r="C38" s="38" t="s">
        <v>62</v>
      </c>
      <c r="D38" s="38"/>
      <c r="E38" s="37" t="s">
        <v>76</v>
      </c>
      <c r="F38" s="37"/>
      <c r="G38" s="48"/>
      <c r="H38" s="40">
        <f t="shared" si="0"/>
        <v>0</v>
      </c>
      <c r="I38" s="79" t="s">
        <v>69</v>
      </c>
    </row>
    <row r="39" spans="1:9" ht="20" hidden="1" customHeight="1" x14ac:dyDescent="0.2">
      <c r="A39" s="54"/>
      <c r="B39" s="37">
        <v>31</v>
      </c>
      <c r="C39" s="38" t="s">
        <v>63</v>
      </c>
      <c r="D39" s="38"/>
      <c r="E39" s="37" t="s">
        <v>41</v>
      </c>
      <c r="F39" s="37"/>
      <c r="G39" s="48"/>
      <c r="H39" s="40">
        <f t="shared" si="0"/>
        <v>0</v>
      </c>
      <c r="I39" s="79" t="s">
        <v>69</v>
      </c>
    </row>
    <row r="40" spans="1:9" ht="20" hidden="1" customHeight="1" x14ac:dyDescent="0.2">
      <c r="A40" s="54"/>
      <c r="B40" s="37">
        <v>32</v>
      </c>
      <c r="C40" s="38" t="s">
        <v>64</v>
      </c>
      <c r="D40" s="38"/>
      <c r="E40" s="37" t="s">
        <v>75</v>
      </c>
      <c r="F40" s="37"/>
      <c r="G40" s="48"/>
      <c r="H40" s="40">
        <f t="shared" si="0"/>
        <v>0</v>
      </c>
      <c r="I40" s="79" t="s">
        <v>69</v>
      </c>
    </row>
    <row r="41" spans="1:9" ht="51" hidden="1" x14ac:dyDescent="0.2">
      <c r="A41" s="6"/>
      <c r="B41" s="42">
        <v>1</v>
      </c>
      <c r="C41" s="43" t="s">
        <v>85</v>
      </c>
      <c r="D41" s="43" t="s">
        <v>14</v>
      </c>
      <c r="E41" s="44" t="s">
        <v>15</v>
      </c>
      <c r="F41" s="44">
        <v>27</v>
      </c>
      <c r="G41" s="66">
        <v>18000000</v>
      </c>
      <c r="H41" s="67">
        <f t="shared" ref="H41:H71" si="1">F41*G41</f>
        <v>486000000</v>
      </c>
      <c r="I41" s="46" t="s">
        <v>81</v>
      </c>
    </row>
    <row r="42" spans="1:9" ht="51" hidden="1" x14ac:dyDescent="0.2">
      <c r="A42" s="6"/>
      <c r="B42" s="37">
        <v>2</v>
      </c>
      <c r="C42" s="38" t="s">
        <v>84</v>
      </c>
      <c r="D42" s="38" t="s">
        <v>17</v>
      </c>
      <c r="E42" s="39" t="s">
        <v>15</v>
      </c>
      <c r="F42" s="39">
        <v>6</v>
      </c>
      <c r="G42" s="68">
        <v>14000000</v>
      </c>
      <c r="H42" s="68">
        <f t="shared" si="1"/>
        <v>84000000</v>
      </c>
      <c r="I42" s="41" t="s">
        <v>81</v>
      </c>
    </row>
    <row r="43" spans="1:9" ht="34" hidden="1" x14ac:dyDescent="0.2">
      <c r="A43" s="6"/>
      <c r="B43" s="37">
        <v>3</v>
      </c>
      <c r="C43" s="38" t="s">
        <v>86</v>
      </c>
      <c r="D43" s="38"/>
      <c r="E43" s="39" t="s">
        <v>76</v>
      </c>
      <c r="F43" s="39">
        <v>3</v>
      </c>
      <c r="G43" s="68">
        <v>5000000</v>
      </c>
      <c r="H43" s="68">
        <f>F43*G43</f>
        <v>15000000</v>
      </c>
      <c r="I43" s="41" t="s">
        <v>81</v>
      </c>
    </row>
    <row r="44" spans="1:9" ht="102" hidden="1" x14ac:dyDescent="0.2">
      <c r="A44" s="6"/>
      <c r="B44" s="37">
        <v>4</v>
      </c>
      <c r="C44" s="47" t="s">
        <v>43</v>
      </c>
      <c r="D44" s="38" t="s">
        <v>42</v>
      </c>
      <c r="E44" s="37" t="s">
        <v>18</v>
      </c>
      <c r="F44" s="37">
        <v>1</v>
      </c>
      <c r="G44" s="68">
        <v>650000000</v>
      </c>
      <c r="H44" s="68">
        <f t="shared" si="1"/>
        <v>650000000</v>
      </c>
      <c r="I44" s="41" t="s">
        <v>81</v>
      </c>
    </row>
    <row r="45" spans="1:9" ht="68" hidden="1" x14ac:dyDescent="0.2">
      <c r="A45" s="6"/>
      <c r="B45" s="37">
        <v>5</v>
      </c>
      <c r="C45" s="47" t="s">
        <v>19</v>
      </c>
      <c r="D45" s="38" t="s">
        <v>20</v>
      </c>
      <c r="E45" s="37" t="s">
        <v>21</v>
      </c>
      <c r="F45" s="37">
        <v>31</v>
      </c>
      <c r="G45" s="68">
        <v>5000000</v>
      </c>
      <c r="H45" s="68">
        <f t="shared" si="1"/>
        <v>155000000</v>
      </c>
      <c r="I45" s="41" t="s">
        <v>81</v>
      </c>
    </row>
    <row r="46" spans="1:9" ht="51" hidden="1" x14ac:dyDescent="0.2">
      <c r="A46" s="6"/>
      <c r="B46" s="49">
        <v>6</v>
      </c>
      <c r="C46" s="69" t="s">
        <v>22</v>
      </c>
      <c r="D46" s="50" t="s">
        <v>23</v>
      </c>
      <c r="E46" s="49" t="s">
        <v>24</v>
      </c>
      <c r="F46" s="49">
        <v>1</v>
      </c>
      <c r="G46" s="70">
        <v>5000000</v>
      </c>
      <c r="H46" s="70">
        <f t="shared" si="1"/>
        <v>5000000</v>
      </c>
      <c r="I46" s="53" t="s">
        <v>81</v>
      </c>
    </row>
    <row r="47" spans="1:9" ht="17" hidden="1" x14ac:dyDescent="0.2">
      <c r="A47" s="54"/>
      <c r="B47" s="37">
        <v>33</v>
      </c>
      <c r="C47" s="47" t="s">
        <v>25</v>
      </c>
      <c r="D47" s="38" t="s">
        <v>26</v>
      </c>
      <c r="E47" s="37" t="s">
        <v>27</v>
      </c>
      <c r="F47" s="37">
        <v>1</v>
      </c>
      <c r="G47" s="40">
        <v>70000000</v>
      </c>
      <c r="H47" s="40">
        <f t="shared" si="1"/>
        <v>70000000</v>
      </c>
      <c r="I47" s="82" t="s">
        <v>69</v>
      </c>
    </row>
    <row r="48" spans="1:9" ht="17" hidden="1" x14ac:dyDescent="0.2">
      <c r="A48" s="6"/>
      <c r="B48" s="42">
        <v>7</v>
      </c>
      <c r="C48" s="71" t="s">
        <v>28</v>
      </c>
      <c r="D48" s="43" t="s">
        <v>87</v>
      </c>
      <c r="E48" s="42" t="s">
        <v>29</v>
      </c>
      <c r="F48" s="42">
        <v>5</v>
      </c>
      <c r="G48" s="66">
        <v>30000</v>
      </c>
      <c r="H48" s="66">
        <f t="shared" si="1"/>
        <v>150000</v>
      </c>
      <c r="I48" s="46" t="s">
        <v>81</v>
      </c>
    </row>
    <row r="49" spans="1:9" hidden="1" x14ac:dyDescent="0.2">
      <c r="A49" s="6"/>
      <c r="B49" s="37">
        <v>8</v>
      </c>
      <c r="C49" s="47" t="s">
        <v>31</v>
      </c>
      <c r="D49" s="38"/>
      <c r="E49" s="37" t="s">
        <v>32</v>
      </c>
      <c r="F49" s="37">
        <v>1</v>
      </c>
      <c r="G49" s="68">
        <v>700000000</v>
      </c>
      <c r="H49" s="68">
        <f t="shared" si="1"/>
        <v>700000000</v>
      </c>
      <c r="I49" s="41" t="s">
        <v>81</v>
      </c>
    </row>
    <row r="50" spans="1:9" ht="17" hidden="1" x14ac:dyDescent="0.2">
      <c r="A50" s="6"/>
      <c r="B50" s="37">
        <v>9</v>
      </c>
      <c r="C50" s="47" t="s">
        <v>6</v>
      </c>
      <c r="D50" s="38" t="s">
        <v>33</v>
      </c>
      <c r="E50" s="37" t="s">
        <v>8</v>
      </c>
      <c r="F50" s="37">
        <v>2</v>
      </c>
      <c r="G50" s="68">
        <v>3000000</v>
      </c>
      <c r="H50" s="68">
        <f t="shared" si="1"/>
        <v>6000000</v>
      </c>
      <c r="I50" s="41" t="s">
        <v>81</v>
      </c>
    </row>
    <row r="51" spans="1:9" ht="17" hidden="1" x14ac:dyDescent="0.2">
      <c r="A51" s="6"/>
      <c r="B51" s="37">
        <v>10</v>
      </c>
      <c r="C51" s="47" t="s">
        <v>34</v>
      </c>
      <c r="D51" s="38" t="s">
        <v>33</v>
      </c>
      <c r="E51" s="37" t="s">
        <v>8</v>
      </c>
      <c r="F51" s="37">
        <v>2</v>
      </c>
      <c r="G51" s="72">
        <v>2000000</v>
      </c>
      <c r="H51" s="68">
        <f t="shared" si="1"/>
        <v>4000000</v>
      </c>
      <c r="I51" s="41" t="s">
        <v>81</v>
      </c>
    </row>
    <row r="52" spans="1:9" ht="34" hidden="1" x14ac:dyDescent="0.2">
      <c r="A52" s="6"/>
      <c r="B52" s="37">
        <v>11</v>
      </c>
      <c r="C52" s="47" t="s">
        <v>5</v>
      </c>
      <c r="D52" s="38" t="s">
        <v>88</v>
      </c>
      <c r="E52" s="37" t="s">
        <v>36</v>
      </c>
      <c r="F52" s="37">
        <v>2</v>
      </c>
      <c r="G52" s="72">
        <v>5000000</v>
      </c>
      <c r="H52" s="68">
        <f t="shared" si="1"/>
        <v>10000000</v>
      </c>
      <c r="I52" s="41" t="s">
        <v>81</v>
      </c>
    </row>
    <row r="53" spans="1:9" ht="34" hidden="1" x14ac:dyDescent="0.2">
      <c r="A53" s="6"/>
      <c r="B53" s="37">
        <v>12</v>
      </c>
      <c r="C53" s="47" t="s">
        <v>5</v>
      </c>
      <c r="D53" s="38" t="s">
        <v>89</v>
      </c>
      <c r="E53" s="37" t="s">
        <v>36</v>
      </c>
      <c r="F53" s="37">
        <v>3</v>
      </c>
      <c r="G53" s="72">
        <v>4000000</v>
      </c>
      <c r="H53" s="68">
        <f t="shared" ref="H53:H54" si="2">F53*G53</f>
        <v>12000000</v>
      </c>
      <c r="I53" s="41" t="s">
        <v>81</v>
      </c>
    </row>
    <row r="54" spans="1:9" hidden="1" x14ac:dyDescent="0.2">
      <c r="A54" s="6"/>
      <c r="B54" s="37">
        <v>13</v>
      </c>
      <c r="C54" s="47" t="s">
        <v>92</v>
      </c>
      <c r="D54" s="38"/>
      <c r="E54" s="37" t="s">
        <v>36</v>
      </c>
      <c r="F54" s="37">
        <v>1</v>
      </c>
      <c r="G54" s="72">
        <v>5000000</v>
      </c>
      <c r="H54" s="68">
        <f t="shared" si="2"/>
        <v>5000000</v>
      </c>
      <c r="I54" s="41" t="s">
        <v>81</v>
      </c>
    </row>
    <row r="55" spans="1:9" ht="34" hidden="1" x14ac:dyDescent="0.2">
      <c r="A55" s="6"/>
      <c r="B55" s="37">
        <v>14</v>
      </c>
      <c r="C55" s="38" t="s">
        <v>72</v>
      </c>
      <c r="D55" s="38" t="s">
        <v>37</v>
      </c>
      <c r="E55" s="37" t="s">
        <v>18</v>
      </c>
      <c r="F55" s="37">
        <v>2</v>
      </c>
      <c r="G55" s="72">
        <v>2000000</v>
      </c>
      <c r="H55" s="68">
        <f t="shared" si="1"/>
        <v>4000000</v>
      </c>
      <c r="I55" s="41" t="s">
        <v>81</v>
      </c>
    </row>
    <row r="56" spans="1:9" ht="17" hidden="1" x14ac:dyDescent="0.2">
      <c r="A56" s="6"/>
      <c r="B56" s="37">
        <v>15</v>
      </c>
      <c r="C56" s="38" t="s">
        <v>38</v>
      </c>
      <c r="D56" s="38"/>
      <c r="E56" s="37" t="s">
        <v>39</v>
      </c>
      <c r="F56" s="37">
        <v>2</v>
      </c>
      <c r="G56" s="72">
        <v>80000</v>
      </c>
      <c r="H56" s="68">
        <f t="shared" si="1"/>
        <v>160000</v>
      </c>
      <c r="I56" s="41" t="s">
        <v>81</v>
      </c>
    </row>
    <row r="57" spans="1:9" ht="34" hidden="1" x14ac:dyDescent="0.2">
      <c r="A57" s="6"/>
      <c r="B57" s="37">
        <v>16</v>
      </c>
      <c r="C57" s="38" t="s">
        <v>40</v>
      </c>
      <c r="D57" s="38" t="s">
        <v>90</v>
      </c>
      <c r="E57" s="37" t="s">
        <v>41</v>
      </c>
      <c r="F57" s="37">
        <v>14</v>
      </c>
      <c r="G57" s="72">
        <v>200000</v>
      </c>
      <c r="H57" s="68">
        <f t="shared" si="1"/>
        <v>2800000</v>
      </c>
      <c r="I57" s="41" t="s">
        <v>81</v>
      </c>
    </row>
    <row r="58" spans="1:9" ht="17" hidden="1" x14ac:dyDescent="0.2">
      <c r="A58" s="6"/>
      <c r="B58" s="37">
        <v>17</v>
      </c>
      <c r="C58" s="38" t="s">
        <v>49</v>
      </c>
      <c r="D58" s="38"/>
      <c r="E58" s="37" t="s">
        <v>39</v>
      </c>
      <c r="F58" s="37">
        <v>2</v>
      </c>
      <c r="G58" s="72">
        <v>100000</v>
      </c>
      <c r="H58" s="68">
        <f t="shared" si="1"/>
        <v>200000</v>
      </c>
      <c r="I58" s="41" t="s">
        <v>81</v>
      </c>
    </row>
    <row r="59" spans="1:9" ht="17" hidden="1" x14ac:dyDescent="0.2">
      <c r="A59" s="6"/>
      <c r="B59" s="37">
        <v>18</v>
      </c>
      <c r="C59" s="38" t="s">
        <v>50</v>
      </c>
      <c r="D59" s="38"/>
      <c r="E59" s="37" t="s">
        <v>60</v>
      </c>
      <c r="F59" s="37">
        <v>4</v>
      </c>
      <c r="G59" s="72">
        <v>70000</v>
      </c>
      <c r="H59" s="68">
        <f t="shared" si="1"/>
        <v>280000</v>
      </c>
      <c r="I59" s="41" t="s">
        <v>81</v>
      </c>
    </row>
    <row r="60" spans="1:9" ht="34" hidden="1" x14ac:dyDescent="0.2">
      <c r="A60" s="6"/>
      <c r="B60" s="37">
        <v>19</v>
      </c>
      <c r="C60" s="38" t="s">
        <v>64</v>
      </c>
      <c r="D60" s="38" t="s">
        <v>93</v>
      </c>
      <c r="E60" s="37" t="s">
        <v>75</v>
      </c>
      <c r="F60" s="37">
        <v>5</v>
      </c>
      <c r="G60" s="72">
        <v>250000</v>
      </c>
      <c r="H60" s="68">
        <f t="shared" si="1"/>
        <v>1250000</v>
      </c>
      <c r="I60" s="41" t="s">
        <v>81</v>
      </c>
    </row>
    <row r="61" spans="1:9" ht="34" hidden="1" x14ac:dyDescent="0.2">
      <c r="A61" s="6"/>
      <c r="B61" s="37">
        <v>20</v>
      </c>
      <c r="C61" s="38" t="s">
        <v>94</v>
      </c>
      <c r="D61" s="38" t="s">
        <v>93</v>
      </c>
      <c r="E61" s="37" t="s">
        <v>9</v>
      </c>
      <c r="F61" s="37">
        <v>2</v>
      </c>
      <c r="G61" s="72">
        <v>3000000</v>
      </c>
      <c r="H61" s="68">
        <f t="shared" si="1"/>
        <v>6000000</v>
      </c>
      <c r="I61" s="41" t="s">
        <v>81</v>
      </c>
    </row>
    <row r="62" spans="1:9" ht="17" hidden="1" x14ac:dyDescent="0.2">
      <c r="A62" s="6"/>
      <c r="B62" s="37">
        <v>21</v>
      </c>
      <c r="C62" s="38" t="s">
        <v>95</v>
      </c>
      <c r="D62" s="38"/>
      <c r="E62" s="37" t="s">
        <v>10</v>
      </c>
      <c r="F62" s="37">
        <v>1</v>
      </c>
      <c r="G62" s="72">
        <v>1000000</v>
      </c>
      <c r="H62" s="68">
        <f t="shared" si="1"/>
        <v>1000000</v>
      </c>
      <c r="I62" s="41" t="s">
        <v>81</v>
      </c>
    </row>
    <row r="63" spans="1:9" ht="17" hidden="1" x14ac:dyDescent="0.2">
      <c r="A63" s="6"/>
      <c r="B63" s="37">
        <v>22</v>
      </c>
      <c r="C63" s="38" t="s">
        <v>53</v>
      </c>
      <c r="D63" s="38"/>
      <c r="E63" s="37" t="s">
        <v>39</v>
      </c>
      <c r="F63" s="37"/>
      <c r="G63" s="72">
        <v>300000</v>
      </c>
      <c r="H63" s="68">
        <f t="shared" si="1"/>
        <v>0</v>
      </c>
      <c r="I63" s="41" t="s">
        <v>81</v>
      </c>
    </row>
    <row r="64" spans="1:9" ht="34" hidden="1" x14ac:dyDescent="0.2">
      <c r="A64" s="6"/>
      <c r="B64" s="37">
        <v>23</v>
      </c>
      <c r="C64" s="38" t="s">
        <v>91</v>
      </c>
      <c r="D64" s="38"/>
      <c r="E64" s="37" t="s">
        <v>10</v>
      </c>
      <c r="F64" s="37">
        <v>1</v>
      </c>
      <c r="G64" s="72">
        <v>500000</v>
      </c>
      <c r="H64" s="68">
        <f t="shared" si="1"/>
        <v>500000</v>
      </c>
      <c r="I64" s="41" t="s">
        <v>81</v>
      </c>
    </row>
    <row r="65" spans="1:9" ht="17" hidden="1" x14ac:dyDescent="0.2">
      <c r="A65" s="6"/>
      <c r="B65" s="37">
        <v>24</v>
      </c>
      <c r="C65" s="38" t="s">
        <v>55</v>
      </c>
      <c r="D65" s="38"/>
      <c r="E65" s="37" t="s">
        <v>9</v>
      </c>
      <c r="F65" s="37">
        <v>1</v>
      </c>
      <c r="G65" s="72">
        <v>300000</v>
      </c>
      <c r="H65" s="68">
        <f t="shared" si="1"/>
        <v>300000</v>
      </c>
      <c r="I65" s="41" t="s">
        <v>81</v>
      </c>
    </row>
    <row r="66" spans="1:9" ht="17" hidden="1" x14ac:dyDescent="0.2">
      <c r="A66" s="6"/>
      <c r="B66" s="37">
        <v>25</v>
      </c>
      <c r="C66" s="38" t="s">
        <v>56</v>
      </c>
      <c r="D66" s="38"/>
      <c r="E66" s="37" t="s">
        <v>9</v>
      </c>
      <c r="F66" s="37">
        <v>1</v>
      </c>
      <c r="G66" s="72">
        <v>100000</v>
      </c>
      <c r="H66" s="68">
        <f t="shared" si="1"/>
        <v>100000</v>
      </c>
      <c r="I66" s="41" t="s">
        <v>81</v>
      </c>
    </row>
    <row r="67" spans="1:9" ht="17" hidden="1" x14ac:dyDescent="0.2">
      <c r="A67" s="6"/>
      <c r="B67" s="37">
        <v>26</v>
      </c>
      <c r="C67" s="38" t="s">
        <v>61</v>
      </c>
      <c r="D67" s="38"/>
      <c r="E67" s="37" t="s">
        <v>9</v>
      </c>
      <c r="F67" s="37">
        <v>1</v>
      </c>
      <c r="G67" s="72">
        <v>50000</v>
      </c>
      <c r="H67" s="68">
        <f t="shared" si="1"/>
        <v>50000</v>
      </c>
      <c r="I67" s="41" t="s">
        <v>81</v>
      </c>
    </row>
    <row r="68" spans="1:9" ht="17" hidden="1" x14ac:dyDescent="0.2">
      <c r="A68" s="6"/>
      <c r="B68" s="37">
        <v>27</v>
      </c>
      <c r="C68" s="38" t="s">
        <v>57</v>
      </c>
      <c r="D68" s="38"/>
      <c r="E68" s="37" t="s">
        <v>39</v>
      </c>
      <c r="F68" s="37">
        <v>1</v>
      </c>
      <c r="G68" s="72">
        <v>50000</v>
      </c>
      <c r="H68" s="68">
        <f t="shared" si="1"/>
        <v>50000</v>
      </c>
      <c r="I68" s="41" t="s">
        <v>81</v>
      </c>
    </row>
    <row r="69" spans="1:9" ht="17" hidden="1" x14ac:dyDescent="0.2">
      <c r="A69" s="6"/>
      <c r="B69" s="37">
        <v>28</v>
      </c>
      <c r="C69" s="38" t="s">
        <v>58</v>
      </c>
      <c r="D69" s="38"/>
      <c r="E69" s="37" t="s">
        <v>39</v>
      </c>
      <c r="F69" s="37">
        <v>1</v>
      </c>
      <c r="G69" s="72">
        <v>100000</v>
      </c>
      <c r="H69" s="68">
        <f t="shared" si="1"/>
        <v>100000</v>
      </c>
      <c r="I69" s="41" t="s">
        <v>81</v>
      </c>
    </row>
    <row r="70" spans="1:9" ht="17" hidden="1" x14ac:dyDescent="0.2">
      <c r="A70" s="6"/>
      <c r="B70" s="37">
        <v>29</v>
      </c>
      <c r="C70" s="38" t="s">
        <v>62</v>
      </c>
      <c r="D70" s="38"/>
      <c r="E70" s="37" t="s">
        <v>76</v>
      </c>
      <c r="F70" s="37">
        <v>8</v>
      </c>
      <c r="G70" s="72">
        <v>400000</v>
      </c>
      <c r="H70" s="68">
        <f t="shared" si="1"/>
        <v>3200000</v>
      </c>
      <c r="I70" s="41" t="s">
        <v>81</v>
      </c>
    </row>
    <row r="71" spans="1:9" ht="17" hidden="1" x14ac:dyDescent="0.2">
      <c r="A71" s="6"/>
      <c r="B71" s="37">
        <v>30</v>
      </c>
      <c r="C71" s="38" t="s">
        <v>63</v>
      </c>
      <c r="D71" s="38"/>
      <c r="E71" s="37" t="s">
        <v>41</v>
      </c>
      <c r="F71" s="37">
        <v>3</v>
      </c>
      <c r="G71" s="72">
        <v>100000</v>
      </c>
      <c r="H71" s="68">
        <f t="shared" si="1"/>
        <v>300000</v>
      </c>
      <c r="I71" s="41" t="s">
        <v>81</v>
      </c>
    </row>
    <row r="72" spans="1:9" ht="17" hidden="1" x14ac:dyDescent="0.2">
      <c r="A72" s="6"/>
      <c r="B72" s="37">
        <v>31</v>
      </c>
      <c r="C72" s="73" t="s">
        <v>96</v>
      </c>
      <c r="D72" s="60"/>
      <c r="E72" s="61" t="s">
        <v>10</v>
      </c>
      <c r="F72" s="60">
        <v>2</v>
      </c>
      <c r="G72" s="62">
        <v>300000</v>
      </c>
      <c r="H72" s="74">
        <f>F72*G72</f>
        <v>600000</v>
      </c>
      <c r="I72" s="55" t="s">
        <v>81</v>
      </c>
    </row>
    <row r="73" spans="1:9" ht="17" hidden="1" x14ac:dyDescent="0.2">
      <c r="A73" s="6"/>
      <c r="B73" s="37">
        <v>32</v>
      </c>
      <c r="C73" s="73" t="s">
        <v>97</v>
      </c>
      <c r="D73" s="60"/>
      <c r="E73" s="61" t="s">
        <v>98</v>
      </c>
      <c r="F73" s="60">
        <v>1</v>
      </c>
      <c r="G73" s="62">
        <v>7000000</v>
      </c>
      <c r="H73" s="74">
        <f t="shared" ref="H73:H100" si="3">F73*G73</f>
        <v>7000000</v>
      </c>
      <c r="I73" s="55" t="s">
        <v>81</v>
      </c>
    </row>
    <row r="74" spans="1:9" ht="17" hidden="1" x14ac:dyDescent="0.2">
      <c r="A74" s="6"/>
      <c r="B74" s="37">
        <v>33</v>
      </c>
      <c r="C74" s="73" t="s">
        <v>99</v>
      </c>
      <c r="D74" s="60"/>
      <c r="E74" s="61" t="s">
        <v>98</v>
      </c>
      <c r="F74" s="60">
        <v>19</v>
      </c>
      <c r="G74" s="62">
        <v>7000000</v>
      </c>
      <c r="H74" s="74">
        <f t="shared" si="3"/>
        <v>133000000</v>
      </c>
      <c r="I74" s="55" t="s">
        <v>81</v>
      </c>
    </row>
    <row r="75" spans="1:9" ht="17" hidden="1" x14ac:dyDescent="0.2">
      <c r="A75" s="6"/>
      <c r="B75" s="37">
        <v>34</v>
      </c>
      <c r="C75" s="73" t="s">
        <v>100</v>
      </c>
      <c r="D75" s="60"/>
      <c r="E75" s="61" t="s">
        <v>98</v>
      </c>
      <c r="F75" s="60">
        <v>4</v>
      </c>
      <c r="G75" s="62">
        <v>5000000</v>
      </c>
      <c r="H75" s="74">
        <f t="shared" si="3"/>
        <v>20000000</v>
      </c>
      <c r="I75" s="55" t="s">
        <v>81</v>
      </c>
    </row>
    <row r="76" spans="1:9" ht="19" hidden="1" customHeight="1" x14ac:dyDescent="0.2">
      <c r="A76" s="6"/>
      <c r="B76" s="37">
        <v>35</v>
      </c>
      <c r="C76" s="73" t="s">
        <v>101</v>
      </c>
      <c r="D76" s="60"/>
      <c r="E76" s="61" t="s">
        <v>10</v>
      </c>
      <c r="F76" s="60">
        <v>2</v>
      </c>
      <c r="G76" s="62">
        <v>200000000</v>
      </c>
      <c r="H76" s="74">
        <f t="shared" si="3"/>
        <v>400000000</v>
      </c>
      <c r="I76" s="55" t="s">
        <v>81</v>
      </c>
    </row>
    <row r="77" spans="1:9" ht="34" hidden="1" x14ac:dyDescent="0.2">
      <c r="A77" s="6"/>
      <c r="B77" s="37">
        <v>36</v>
      </c>
      <c r="C77" s="73" t="s">
        <v>102</v>
      </c>
      <c r="D77" s="60"/>
      <c r="E77" s="61" t="s">
        <v>41</v>
      </c>
      <c r="F77" s="60">
        <v>1</v>
      </c>
      <c r="G77" s="62">
        <v>2000000</v>
      </c>
      <c r="H77" s="74">
        <f t="shared" si="3"/>
        <v>2000000</v>
      </c>
      <c r="I77" s="55" t="s">
        <v>81</v>
      </c>
    </row>
    <row r="78" spans="1:9" ht="17" hidden="1" x14ac:dyDescent="0.2">
      <c r="A78" s="6"/>
      <c r="B78" s="37">
        <v>37</v>
      </c>
      <c r="C78" s="73" t="s">
        <v>103</v>
      </c>
      <c r="D78" s="60" t="s">
        <v>104</v>
      </c>
      <c r="E78" s="61" t="s">
        <v>105</v>
      </c>
      <c r="F78" s="60">
        <v>1</v>
      </c>
      <c r="G78" s="62">
        <v>500000</v>
      </c>
      <c r="H78" s="74">
        <f t="shared" si="3"/>
        <v>500000</v>
      </c>
      <c r="I78" s="55" t="s">
        <v>81</v>
      </c>
    </row>
    <row r="79" spans="1:9" ht="17" hidden="1" x14ac:dyDescent="0.2">
      <c r="A79" s="6"/>
      <c r="B79" s="37">
        <v>38</v>
      </c>
      <c r="C79" s="73" t="s">
        <v>106</v>
      </c>
      <c r="D79" s="60"/>
      <c r="E79" s="61" t="s">
        <v>107</v>
      </c>
      <c r="F79" s="60">
        <v>10</v>
      </c>
      <c r="G79" s="62">
        <v>5000</v>
      </c>
      <c r="H79" s="74">
        <f t="shared" si="3"/>
        <v>50000</v>
      </c>
      <c r="I79" s="55" t="s">
        <v>81</v>
      </c>
    </row>
    <row r="80" spans="1:9" ht="17" hidden="1" x14ac:dyDescent="0.2">
      <c r="A80" s="6"/>
      <c r="B80" s="37">
        <v>39</v>
      </c>
      <c r="C80" s="73" t="s">
        <v>108</v>
      </c>
      <c r="D80" s="60" t="s">
        <v>109</v>
      </c>
      <c r="E80" s="61" t="s">
        <v>75</v>
      </c>
      <c r="F80" s="60">
        <v>1</v>
      </c>
      <c r="G80" s="62">
        <v>250000</v>
      </c>
      <c r="H80" s="74">
        <f t="shared" si="3"/>
        <v>250000</v>
      </c>
      <c r="I80" s="55" t="s">
        <v>81</v>
      </c>
    </row>
    <row r="81" spans="1:9" ht="17" hidden="1" x14ac:dyDescent="0.2">
      <c r="A81" s="6"/>
      <c r="B81" s="37">
        <v>40</v>
      </c>
      <c r="C81" s="73" t="s">
        <v>110</v>
      </c>
      <c r="D81" s="60"/>
      <c r="E81" s="61" t="s">
        <v>117</v>
      </c>
      <c r="F81" s="60">
        <v>1</v>
      </c>
      <c r="G81" s="62">
        <v>500000</v>
      </c>
      <c r="H81" s="74">
        <f t="shared" si="3"/>
        <v>500000</v>
      </c>
      <c r="I81" s="55" t="s">
        <v>81</v>
      </c>
    </row>
    <row r="82" spans="1:9" ht="17" hidden="1" x14ac:dyDescent="0.2">
      <c r="A82" s="6"/>
      <c r="B82" s="37">
        <v>41</v>
      </c>
      <c r="C82" s="73" t="s">
        <v>111</v>
      </c>
      <c r="D82" s="60"/>
      <c r="E82" s="61" t="s">
        <v>117</v>
      </c>
      <c r="F82" s="60">
        <v>1</v>
      </c>
      <c r="G82" s="62">
        <v>3000000</v>
      </c>
      <c r="H82" s="74">
        <f t="shared" si="3"/>
        <v>3000000</v>
      </c>
      <c r="I82" s="55" t="s">
        <v>81</v>
      </c>
    </row>
    <row r="83" spans="1:9" ht="17" hidden="1" x14ac:dyDescent="0.2">
      <c r="A83" s="6"/>
      <c r="B83" s="37">
        <v>42</v>
      </c>
      <c r="C83" s="73" t="s">
        <v>112</v>
      </c>
      <c r="D83" s="60"/>
      <c r="E83" s="61" t="s">
        <v>117</v>
      </c>
      <c r="F83" s="60">
        <v>1</v>
      </c>
      <c r="G83" s="62">
        <v>1000000</v>
      </c>
      <c r="H83" s="74">
        <f t="shared" si="3"/>
        <v>1000000</v>
      </c>
      <c r="I83" s="55" t="s">
        <v>81</v>
      </c>
    </row>
    <row r="84" spans="1:9" ht="34" hidden="1" x14ac:dyDescent="0.2">
      <c r="A84" s="6"/>
      <c r="B84" s="37">
        <v>43</v>
      </c>
      <c r="C84" s="73" t="s">
        <v>113</v>
      </c>
      <c r="D84" s="60"/>
      <c r="E84" s="60" t="s">
        <v>117</v>
      </c>
      <c r="F84" s="60">
        <v>1</v>
      </c>
      <c r="G84" s="62">
        <v>2000000</v>
      </c>
      <c r="H84" s="74">
        <f t="shared" si="3"/>
        <v>2000000</v>
      </c>
      <c r="I84" s="55" t="s">
        <v>81</v>
      </c>
    </row>
    <row r="85" spans="1:9" ht="17" hidden="1" x14ac:dyDescent="0.2">
      <c r="A85" s="6"/>
      <c r="B85" s="37">
        <v>44</v>
      </c>
      <c r="C85" s="73" t="s">
        <v>114</v>
      </c>
      <c r="D85" s="60"/>
      <c r="E85" s="60" t="s">
        <v>117</v>
      </c>
      <c r="F85" s="60">
        <v>1</v>
      </c>
      <c r="G85" s="62">
        <v>5000000</v>
      </c>
      <c r="H85" s="74">
        <f t="shared" si="3"/>
        <v>5000000</v>
      </c>
      <c r="I85" s="55" t="s">
        <v>81</v>
      </c>
    </row>
    <row r="86" spans="1:9" ht="17" hidden="1" x14ac:dyDescent="0.2">
      <c r="A86" s="6"/>
      <c r="B86" s="37">
        <v>45</v>
      </c>
      <c r="C86" s="73" t="s">
        <v>115</v>
      </c>
      <c r="D86" s="60"/>
      <c r="E86" s="60" t="s">
        <v>117</v>
      </c>
      <c r="F86" s="60">
        <v>1</v>
      </c>
      <c r="G86" s="62">
        <v>250000000</v>
      </c>
      <c r="H86" s="74">
        <f t="shared" si="3"/>
        <v>250000000</v>
      </c>
      <c r="I86" s="55" t="s">
        <v>81</v>
      </c>
    </row>
    <row r="87" spans="1:9" ht="34" hidden="1" x14ac:dyDescent="0.2">
      <c r="A87" s="6"/>
      <c r="B87" s="37">
        <v>46</v>
      </c>
      <c r="C87" s="73" t="s">
        <v>116</v>
      </c>
      <c r="D87" s="60"/>
      <c r="E87" s="60" t="s">
        <v>105</v>
      </c>
      <c r="F87" s="60">
        <v>1</v>
      </c>
      <c r="G87" s="62">
        <v>1000000</v>
      </c>
      <c r="H87" s="74">
        <f t="shared" si="3"/>
        <v>1000000</v>
      </c>
      <c r="I87" s="55" t="s">
        <v>81</v>
      </c>
    </row>
    <row r="88" spans="1:9" ht="34" hidden="1" x14ac:dyDescent="0.2">
      <c r="A88" s="6"/>
      <c r="B88" s="37">
        <v>47</v>
      </c>
      <c r="C88" s="73" t="s">
        <v>118</v>
      </c>
      <c r="D88" s="60"/>
      <c r="E88" s="60" t="s">
        <v>119</v>
      </c>
      <c r="F88" s="60">
        <v>1</v>
      </c>
      <c r="G88" s="62">
        <v>300000</v>
      </c>
      <c r="H88" s="74">
        <f t="shared" si="3"/>
        <v>300000</v>
      </c>
      <c r="I88" s="55" t="s">
        <v>81</v>
      </c>
    </row>
    <row r="89" spans="1:9" ht="17" hidden="1" x14ac:dyDescent="0.2">
      <c r="A89" s="6"/>
      <c r="B89" s="37">
        <v>48</v>
      </c>
      <c r="C89" s="73" t="s">
        <v>120</v>
      </c>
      <c r="D89" s="60"/>
      <c r="E89" s="60" t="s">
        <v>121</v>
      </c>
      <c r="F89" s="60">
        <v>1</v>
      </c>
      <c r="G89" s="62">
        <v>5000000</v>
      </c>
      <c r="H89" s="74">
        <f t="shared" si="3"/>
        <v>5000000</v>
      </c>
      <c r="I89" s="55" t="s">
        <v>81</v>
      </c>
    </row>
    <row r="90" spans="1:9" ht="17" hidden="1" x14ac:dyDescent="0.2">
      <c r="A90" s="6"/>
      <c r="B90" s="37">
        <v>49</v>
      </c>
      <c r="C90" s="73" t="s">
        <v>122</v>
      </c>
      <c r="D90" s="60"/>
      <c r="E90" s="60" t="s">
        <v>107</v>
      </c>
      <c r="F90" s="60">
        <v>30</v>
      </c>
      <c r="G90" s="62">
        <v>120000</v>
      </c>
      <c r="H90" s="74">
        <f t="shared" si="3"/>
        <v>3600000</v>
      </c>
      <c r="I90" s="55" t="s">
        <v>81</v>
      </c>
    </row>
    <row r="91" spans="1:9" ht="24" hidden="1" customHeight="1" x14ac:dyDescent="0.2">
      <c r="A91" s="6"/>
      <c r="B91" s="37">
        <v>50</v>
      </c>
      <c r="C91" s="73" t="s">
        <v>123</v>
      </c>
      <c r="D91" s="60"/>
      <c r="E91" s="60" t="s">
        <v>76</v>
      </c>
      <c r="F91" s="60">
        <v>1</v>
      </c>
      <c r="G91" s="62">
        <v>200000</v>
      </c>
      <c r="H91" s="74">
        <f t="shared" si="3"/>
        <v>200000</v>
      </c>
      <c r="I91" s="55" t="s">
        <v>81</v>
      </c>
    </row>
    <row r="92" spans="1:9" ht="17" hidden="1" x14ac:dyDescent="0.2">
      <c r="A92" s="6"/>
      <c r="B92" s="37">
        <v>51</v>
      </c>
      <c r="C92" s="73" t="s">
        <v>124</v>
      </c>
      <c r="D92" s="60"/>
      <c r="E92" s="60"/>
      <c r="F92" s="60">
        <v>1</v>
      </c>
      <c r="G92" s="62">
        <v>500000</v>
      </c>
      <c r="H92" s="74">
        <f t="shared" si="3"/>
        <v>500000</v>
      </c>
      <c r="I92" s="55" t="s">
        <v>81</v>
      </c>
    </row>
    <row r="93" spans="1:9" ht="17" hidden="1" x14ac:dyDescent="0.2">
      <c r="A93" s="6"/>
      <c r="B93" s="37">
        <v>52</v>
      </c>
      <c r="C93" s="73" t="s">
        <v>125</v>
      </c>
      <c r="D93" s="60"/>
      <c r="E93" s="60"/>
      <c r="F93" s="60">
        <v>1</v>
      </c>
      <c r="G93" s="62">
        <v>500000</v>
      </c>
      <c r="H93" s="74">
        <f t="shared" si="3"/>
        <v>500000</v>
      </c>
      <c r="I93" s="55" t="s">
        <v>81</v>
      </c>
    </row>
    <row r="94" spans="1:9" ht="17" hidden="1" x14ac:dyDescent="0.2">
      <c r="A94" s="6"/>
      <c r="B94" s="37">
        <v>53</v>
      </c>
      <c r="C94" s="73" t="s">
        <v>126</v>
      </c>
      <c r="D94" s="60"/>
      <c r="E94" s="60"/>
      <c r="F94" s="60">
        <v>2</v>
      </c>
      <c r="G94" s="62">
        <v>500000</v>
      </c>
      <c r="H94" s="74">
        <f t="shared" si="3"/>
        <v>1000000</v>
      </c>
      <c r="I94" s="55" t="s">
        <v>81</v>
      </c>
    </row>
    <row r="95" spans="1:9" ht="17" hidden="1" x14ac:dyDescent="0.2">
      <c r="A95" s="6"/>
      <c r="B95" s="37">
        <v>54</v>
      </c>
      <c r="C95" s="73" t="s">
        <v>127</v>
      </c>
      <c r="D95" s="60"/>
      <c r="E95" s="60"/>
      <c r="F95" s="60">
        <v>2</v>
      </c>
      <c r="G95" s="62">
        <v>3000000</v>
      </c>
      <c r="H95" s="74">
        <f t="shared" si="3"/>
        <v>6000000</v>
      </c>
      <c r="I95" s="55" t="s">
        <v>81</v>
      </c>
    </row>
    <row r="96" spans="1:9" ht="17" hidden="1" x14ac:dyDescent="0.2">
      <c r="A96" s="6"/>
      <c r="B96" s="37">
        <v>55</v>
      </c>
      <c r="C96" s="73" t="s">
        <v>128</v>
      </c>
      <c r="D96" s="60"/>
      <c r="E96" s="60"/>
      <c r="F96" s="60">
        <v>1</v>
      </c>
      <c r="G96" s="62">
        <v>300000</v>
      </c>
      <c r="H96" s="74">
        <f t="shared" si="3"/>
        <v>300000</v>
      </c>
      <c r="I96" s="55" t="s">
        <v>81</v>
      </c>
    </row>
    <row r="97" spans="1:9" ht="34" hidden="1" x14ac:dyDescent="0.2">
      <c r="A97" s="6"/>
      <c r="B97" s="37">
        <v>56</v>
      </c>
      <c r="C97" s="73" t="s">
        <v>129</v>
      </c>
      <c r="D97" s="60"/>
      <c r="E97" s="60"/>
      <c r="F97" s="60">
        <v>15</v>
      </c>
      <c r="G97" s="62">
        <v>300000</v>
      </c>
      <c r="H97" s="74">
        <f t="shared" si="3"/>
        <v>4500000</v>
      </c>
      <c r="I97" s="55" t="s">
        <v>81</v>
      </c>
    </row>
    <row r="98" spans="1:9" ht="17" hidden="1" x14ac:dyDescent="0.2">
      <c r="A98" s="6"/>
      <c r="B98" s="37">
        <v>57</v>
      </c>
      <c r="C98" s="73" t="s">
        <v>132</v>
      </c>
      <c r="D98" s="60" t="s">
        <v>133</v>
      </c>
      <c r="E98" s="60"/>
      <c r="F98" s="60">
        <v>1</v>
      </c>
      <c r="G98" s="62">
        <v>20000000</v>
      </c>
      <c r="H98" s="74">
        <f>F98*G98</f>
        <v>20000000</v>
      </c>
      <c r="I98" s="55" t="s">
        <v>81</v>
      </c>
    </row>
    <row r="99" spans="1:9" ht="17" hidden="1" x14ac:dyDescent="0.2">
      <c r="A99" s="6"/>
      <c r="B99" s="37">
        <v>58</v>
      </c>
      <c r="C99" s="73" t="s">
        <v>130</v>
      </c>
      <c r="D99" s="60"/>
      <c r="E99" s="60"/>
      <c r="F99" s="60">
        <v>3</v>
      </c>
      <c r="G99" s="62">
        <v>100000</v>
      </c>
      <c r="H99" s="74">
        <f t="shared" si="3"/>
        <v>300000</v>
      </c>
      <c r="I99" s="55" t="s">
        <v>81</v>
      </c>
    </row>
    <row r="100" spans="1:9" ht="17" hidden="1" x14ac:dyDescent="0.2">
      <c r="A100" s="6"/>
      <c r="B100" s="37">
        <v>59</v>
      </c>
      <c r="C100" s="73" t="s">
        <v>131</v>
      </c>
      <c r="D100" s="60"/>
      <c r="E100" s="60"/>
      <c r="F100" s="60">
        <v>1</v>
      </c>
      <c r="G100" s="62">
        <v>28000000</v>
      </c>
      <c r="H100" s="74">
        <f t="shared" si="3"/>
        <v>28000000</v>
      </c>
      <c r="I100" s="55" t="s">
        <v>81</v>
      </c>
    </row>
    <row r="101" spans="1:9" hidden="1" x14ac:dyDescent="0.2">
      <c r="A101" s="6"/>
      <c r="B101" s="77"/>
      <c r="C101" s="77"/>
      <c r="D101" s="77"/>
      <c r="E101" s="77"/>
      <c r="F101" s="77"/>
      <c r="G101" s="77"/>
      <c r="H101" s="94">
        <f>SUBTOTAL(9,H9:H100)</f>
        <v>0</v>
      </c>
      <c r="I101" s="57" t="s">
        <v>81</v>
      </c>
    </row>
    <row r="102" spans="1:9" ht="63" hidden="1" customHeight="1" x14ac:dyDescent="0.2">
      <c r="A102" s="99" t="s">
        <v>71</v>
      </c>
      <c r="B102" s="99"/>
      <c r="C102" s="99"/>
      <c r="D102" s="99"/>
      <c r="E102" s="99"/>
      <c r="F102" s="99"/>
      <c r="G102" s="99"/>
      <c r="H102" s="99"/>
      <c r="I102" s="75" t="s">
        <v>81</v>
      </c>
    </row>
    <row r="103" spans="1:9" hidden="1" x14ac:dyDescent="0.2">
      <c r="A103" s="6"/>
      <c r="B103" s="101" t="s">
        <v>65</v>
      </c>
      <c r="C103" s="101"/>
      <c r="D103" s="58"/>
      <c r="E103" s="2"/>
      <c r="F103" s="2"/>
      <c r="G103" s="59" t="s">
        <v>66</v>
      </c>
      <c r="H103" s="59"/>
      <c r="I103" s="95" t="s">
        <v>81</v>
      </c>
    </row>
    <row r="104" spans="1:9" x14ac:dyDescent="0.2">
      <c r="A104" s="60"/>
      <c r="B104" s="60">
        <v>34</v>
      </c>
      <c r="C104" s="60" t="s">
        <v>136</v>
      </c>
      <c r="D104" s="60"/>
      <c r="E104" s="61" t="s">
        <v>76</v>
      </c>
      <c r="F104" s="87">
        <f>48+43+30</f>
        <v>121</v>
      </c>
      <c r="G104" s="62">
        <f>12*0.3*0.3*7.85*16000</f>
        <v>135647.99999999997</v>
      </c>
      <c r="H104" s="63">
        <f>F104*G104</f>
        <v>16413407.999999996</v>
      </c>
      <c r="I104" s="83" t="s">
        <v>137</v>
      </c>
    </row>
    <row r="105" spans="1:9" x14ac:dyDescent="0.2">
      <c r="A105" s="60"/>
      <c r="B105" s="60">
        <v>35</v>
      </c>
      <c r="C105" s="60" t="s">
        <v>138</v>
      </c>
      <c r="D105" s="60" t="s">
        <v>139</v>
      </c>
      <c r="E105" s="87" t="s">
        <v>140</v>
      </c>
      <c r="F105" s="87">
        <v>143</v>
      </c>
      <c r="G105" s="62">
        <v>60000</v>
      </c>
      <c r="H105" s="63">
        <f t="shared" ref="H105:H168" si="4">F105*G105</f>
        <v>8580000</v>
      </c>
      <c r="I105" s="83" t="s">
        <v>137</v>
      </c>
    </row>
    <row r="106" spans="1:9" x14ac:dyDescent="0.2">
      <c r="A106" s="60"/>
      <c r="B106" s="60">
        <v>36</v>
      </c>
      <c r="C106" s="60" t="s">
        <v>141</v>
      </c>
      <c r="D106" s="60" t="s">
        <v>142</v>
      </c>
      <c r="E106" s="87" t="s">
        <v>76</v>
      </c>
      <c r="F106" s="87">
        <v>79</v>
      </c>
      <c r="G106" s="62">
        <f>12*0.23*0.3*7.85*16000</f>
        <v>103996.8</v>
      </c>
      <c r="H106" s="63">
        <f t="shared" si="4"/>
        <v>8215747.2000000002</v>
      </c>
      <c r="I106" s="83" t="s">
        <v>137</v>
      </c>
    </row>
    <row r="107" spans="1:9" x14ac:dyDescent="0.2">
      <c r="A107" s="60"/>
      <c r="B107" s="60">
        <v>37</v>
      </c>
      <c r="C107" s="60" t="s">
        <v>143</v>
      </c>
      <c r="D107" s="60"/>
      <c r="E107" s="87" t="s">
        <v>39</v>
      </c>
      <c r="F107" s="87">
        <v>2</v>
      </c>
      <c r="G107" s="62">
        <v>1000000</v>
      </c>
      <c r="H107" s="63">
        <f t="shared" si="4"/>
        <v>2000000</v>
      </c>
      <c r="I107" s="83" t="s">
        <v>137</v>
      </c>
    </row>
    <row r="108" spans="1:9" x14ac:dyDescent="0.2">
      <c r="A108" s="60"/>
      <c r="B108" s="60">
        <v>38</v>
      </c>
      <c r="C108" s="60" t="s">
        <v>144</v>
      </c>
      <c r="D108" s="60"/>
      <c r="E108" s="87" t="s">
        <v>117</v>
      </c>
      <c r="F108" s="87">
        <v>3</v>
      </c>
      <c r="G108" s="62">
        <v>1000000</v>
      </c>
      <c r="H108" s="63">
        <f t="shared" si="4"/>
        <v>3000000</v>
      </c>
      <c r="I108" s="83" t="s">
        <v>137</v>
      </c>
    </row>
    <row r="109" spans="1:9" x14ac:dyDescent="0.2">
      <c r="A109" s="60"/>
      <c r="B109" s="60">
        <v>39</v>
      </c>
      <c r="C109" s="60" t="s">
        <v>145</v>
      </c>
      <c r="D109" s="60"/>
      <c r="E109" s="87" t="s">
        <v>18</v>
      </c>
      <c r="F109" s="87">
        <v>1</v>
      </c>
      <c r="G109" s="62">
        <v>3000000</v>
      </c>
      <c r="H109" s="63">
        <f t="shared" si="4"/>
        <v>3000000</v>
      </c>
      <c r="I109" s="83" t="s">
        <v>137</v>
      </c>
    </row>
    <row r="110" spans="1:9" x14ac:dyDescent="0.2">
      <c r="A110" s="60"/>
      <c r="B110" s="60">
        <v>40</v>
      </c>
      <c r="C110" s="60" t="s">
        <v>146</v>
      </c>
      <c r="D110" s="60"/>
      <c r="E110" s="87" t="s">
        <v>117</v>
      </c>
      <c r="F110" s="87">
        <v>1</v>
      </c>
      <c r="G110" s="62">
        <v>300000</v>
      </c>
      <c r="H110" s="63">
        <f t="shared" si="4"/>
        <v>300000</v>
      </c>
      <c r="I110" s="83" t="s">
        <v>137</v>
      </c>
    </row>
    <row r="111" spans="1:9" x14ac:dyDescent="0.2">
      <c r="A111" s="60"/>
      <c r="B111" s="60">
        <v>41</v>
      </c>
      <c r="C111" s="60" t="s">
        <v>147</v>
      </c>
      <c r="D111" s="60"/>
      <c r="E111" s="87" t="s">
        <v>117</v>
      </c>
      <c r="F111" s="87">
        <v>5</v>
      </c>
      <c r="G111" s="62">
        <v>500000</v>
      </c>
      <c r="H111" s="63">
        <f t="shared" si="4"/>
        <v>2500000</v>
      </c>
      <c r="I111" s="83" t="s">
        <v>137</v>
      </c>
    </row>
    <row r="112" spans="1:9" x14ac:dyDescent="0.2">
      <c r="A112" s="60"/>
      <c r="B112" s="60">
        <v>42</v>
      </c>
      <c r="C112" s="60" t="s">
        <v>148</v>
      </c>
      <c r="D112" s="60"/>
      <c r="E112" s="87" t="s">
        <v>117</v>
      </c>
      <c r="F112" s="87">
        <v>1</v>
      </c>
      <c r="G112" s="62">
        <v>300000</v>
      </c>
      <c r="H112" s="63">
        <f t="shared" si="4"/>
        <v>300000</v>
      </c>
      <c r="I112" s="83" t="s">
        <v>137</v>
      </c>
    </row>
    <row r="113" spans="1:9" x14ac:dyDescent="0.2">
      <c r="A113" s="60"/>
      <c r="B113" s="60">
        <v>43</v>
      </c>
      <c r="C113" s="60" t="s">
        <v>149</v>
      </c>
      <c r="D113" s="60"/>
      <c r="E113" s="87" t="s">
        <v>18</v>
      </c>
      <c r="F113" s="87">
        <v>2</v>
      </c>
      <c r="G113" s="62">
        <v>500000</v>
      </c>
      <c r="H113" s="63">
        <f t="shared" si="4"/>
        <v>1000000</v>
      </c>
      <c r="I113" s="83" t="s">
        <v>137</v>
      </c>
    </row>
    <row r="114" spans="1:9" x14ac:dyDescent="0.2">
      <c r="A114" s="60"/>
      <c r="B114" s="60">
        <v>44</v>
      </c>
      <c r="C114" s="60" t="s">
        <v>250</v>
      </c>
      <c r="D114" s="60"/>
      <c r="E114" s="87" t="s">
        <v>117</v>
      </c>
      <c r="F114" s="87">
        <v>2</v>
      </c>
      <c r="G114" s="62">
        <v>500000</v>
      </c>
      <c r="H114" s="63">
        <f t="shared" si="4"/>
        <v>1000000</v>
      </c>
      <c r="I114" s="83" t="s">
        <v>137</v>
      </c>
    </row>
    <row r="115" spans="1:9" x14ac:dyDescent="0.2">
      <c r="A115" s="60"/>
      <c r="B115" s="60">
        <v>45</v>
      </c>
      <c r="C115" s="60" t="s">
        <v>150</v>
      </c>
      <c r="D115" s="60"/>
      <c r="E115" s="87" t="s">
        <v>117</v>
      </c>
      <c r="F115" s="87">
        <v>2</v>
      </c>
      <c r="G115" s="62">
        <v>500000</v>
      </c>
      <c r="H115" s="63">
        <f t="shared" si="4"/>
        <v>1000000</v>
      </c>
      <c r="I115" s="83" t="s">
        <v>137</v>
      </c>
    </row>
    <row r="116" spans="1:9" x14ac:dyDescent="0.2">
      <c r="A116" s="60"/>
      <c r="B116" s="60">
        <v>46</v>
      </c>
      <c r="C116" s="60" t="s">
        <v>151</v>
      </c>
      <c r="D116" s="60" t="s">
        <v>152</v>
      </c>
      <c r="E116" s="87" t="s">
        <v>184</v>
      </c>
      <c r="F116" s="87">
        <v>5</v>
      </c>
      <c r="G116" s="62">
        <v>800000</v>
      </c>
      <c r="H116" s="63">
        <f t="shared" si="4"/>
        <v>4000000</v>
      </c>
      <c r="I116" s="83" t="s">
        <v>137</v>
      </c>
    </row>
    <row r="117" spans="1:9" x14ac:dyDescent="0.2">
      <c r="A117" s="60"/>
      <c r="B117" s="60">
        <v>47</v>
      </c>
      <c r="C117" s="60" t="s">
        <v>153</v>
      </c>
      <c r="D117" s="60"/>
      <c r="E117" s="87" t="s">
        <v>154</v>
      </c>
      <c r="F117" s="87">
        <v>4</v>
      </c>
      <c r="G117" s="62">
        <v>400000</v>
      </c>
      <c r="H117" s="63">
        <f t="shared" si="4"/>
        <v>1600000</v>
      </c>
      <c r="I117" s="83" t="s">
        <v>137</v>
      </c>
    </row>
    <row r="118" spans="1:9" x14ac:dyDescent="0.2">
      <c r="A118" s="60"/>
      <c r="B118" s="60">
        <v>48</v>
      </c>
      <c r="C118" s="60" t="s">
        <v>155</v>
      </c>
      <c r="D118" s="60"/>
      <c r="E118" s="87" t="s">
        <v>117</v>
      </c>
      <c r="F118" s="87">
        <v>2</v>
      </c>
      <c r="G118" s="62">
        <v>300000</v>
      </c>
      <c r="H118" s="63">
        <f t="shared" si="4"/>
        <v>600000</v>
      </c>
      <c r="I118" s="83" t="s">
        <v>137</v>
      </c>
    </row>
    <row r="119" spans="1:9" x14ac:dyDescent="0.2">
      <c r="A119" s="60"/>
      <c r="B119" s="60">
        <v>49</v>
      </c>
      <c r="C119" s="60" t="s">
        <v>156</v>
      </c>
      <c r="D119" s="60"/>
      <c r="E119" s="87" t="s">
        <v>117</v>
      </c>
      <c r="F119" s="87">
        <v>2</v>
      </c>
      <c r="G119" s="62">
        <v>100000</v>
      </c>
      <c r="H119" s="63">
        <f t="shared" si="4"/>
        <v>200000</v>
      </c>
      <c r="I119" s="83" t="s">
        <v>137</v>
      </c>
    </row>
    <row r="120" spans="1:9" x14ac:dyDescent="0.2">
      <c r="A120" s="60"/>
      <c r="B120" s="60">
        <v>50</v>
      </c>
      <c r="C120" s="60" t="s">
        <v>157</v>
      </c>
      <c r="D120" s="60"/>
      <c r="E120" s="87" t="s">
        <v>117</v>
      </c>
      <c r="F120" s="87">
        <v>5</v>
      </c>
      <c r="G120" s="62">
        <v>100000</v>
      </c>
      <c r="H120" s="63">
        <f t="shared" si="4"/>
        <v>500000</v>
      </c>
      <c r="I120" s="83" t="s">
        <v>137</v>
      </c>
    </row>
    <row r="121" spans="1:9" x14ac:dyDescent="0.2">
      <c r="A121" s="60"/>
      <c r="B121" s="60">
        <v>51</v>
      </c>
      <c r="C121" s="60" t="s">
        <v>158</v>
      </c>
      <c r="D121" s="60"/>
      <c r="E121" s="87" t="s">
        <v>117</v>
      </c>
      <c r="F121" s="87">
        <v>5</v>
      </c>
      <c r="G121" s="62">
        <v>300000</v>
      </c>
      <c r="H121" s="63">
        <f t="shared" si="4"/>
        <v>1500000</v>
      </c>
      <c r="I121" s="83" t="s">
        <v>137</v>
      </c>
    </row>
    <row r="122" spans="1:9" x14ac:dyDescent="0.2">
      <c r="A122" s="60"/>
      <c r="B122" s="60">
        <v>52</v>
      </c>
      <c r="C122" s="60" t="s">
        <v>159</v>
      </c>
      <c r="D122" s="60"/>
      <c r="E122" s="87" t="s">
        <v>24</v>
      </c>
      <c r="F122" s="87">
        <v>4</v>
      </c>
      <c r="G122" s="62">
        <v>500000</v>
      </c>
      <c r="H122" s="63">
        <f t="shared" si="4"/>
        <v>2000000</v>
      </c>
      <c r="I122" s="83" t="s">
        <v>137</v>
      </c>
    </row>
    <row r="123" spans="1:9" x14ac:dyDescent="0.2">
      <c r="A123" s="60"/>
      <c r="B123" s="60">
        <v>53</v>
      </c>
      <c r="C123" s="60" t="s">
        <v>160</v>
      </c>
      <c r="D123" s="60"/>
      <c r="E123" s="87" t="s">
        <v>117</v>
      </c>
      <c r="F123" s="87">
        <v>2</v>
      </c>
      <c r="G123" s="62">
        <v>1500000</v>
      </c>
      <c r="H123" s="63">
        <f t="shared" si="4"/>
        <v>3000000</v>
      </c>
      <c r="I123" s="83" t="s">
        <v>137</v>
      </c>
    </row>
    <row r="124" spans="1:9" x14ac:dyDescent="0.2">
      <c r="A124" s="60"/>
      <c r="B124" s="60">
        <v>54</v>
      </c>
      <c r="C124" s="60" t="s">
        <v>161</v>
      </c>
      <c r="D124" s="60" t="s">
        <v>162</v>
      </c>
      <c r="E124" s="87" t="s">
        <v>117</v>
      </c>
      <c r="F124" s="87">
        <v>2</v>
      </c>
      <c r="G124" s="62">
        <v>350000</v>
      </c>
      <c r="H124" s="63">
        <f t="shared" si="4"/>
        <v>700000</v>
      </c>
      <c r="I124" s="83" t="s">
        <v>137</v>
      </c>
    </row>
    <row r="125" spans="1:9" x14ac:dyDescent="0.2">
      <c r="A125" s="60"/>
      <c r="B125" s="60">
        <v>55</v>
      </c>
      <c r="C125" s="60" t="s">
        <v>163</v>
      </c>
      <c r="D125" s="60"/>
      <c r="E125" s="87" t="s">
        <v>117</v>
      </c>
      <c r="F125" s="87">
        <v>1</v>
      </c>
      <c r="G125" s="62">
        <v>20000000</v>
      </c>
      <c r="H125" s="63">
        <f t="shared" si="4"/>
        <v>20000000</v>
      </c>
      <c r="I125" s="83" t="s">
        <v>137</v>
      </c>
    </row>
    <row r="126" spans="1:9" x14ac:dyDescent="0.2">
      <c r="A126" s="60"/>
      <c r="B126" s="60">
        <v>56</v>
      </c>
      <c r="C126" s="60" t="s">
        <v>164</v>
      </c>
      <c r="D126" s="60"/>
      <c r="E126" s="87" t="s">
        <v>117</v>
      </c>
      <c r="F126" s="87">
        <v>1</v>
      </c>
      <c r="G126" s="62">
        <v>500000</v>
      </c>
      <c r="H126" s="63">
        <f t="shared" si="4"/>
        <v>500000</v>
      </c>
      <c r="I126" s="83" t="s">
        <v>137</v>
      </c>
    </row>
    <row r="127" spans="1:9" x14ac:dyDescent="0.2">
      <c r="A127" s="60"/>
      <c r="B127" s="60">
        <v>57</v>
      </c>
      <c r="C127" s="60" t="s">
        <v>165</v>
      </c>
      <c r="D127" s="60"/>
      <c r="E127" s="87" t="s">
        <v>117</v>
      </c>
      <c r="F127" s="87">
        <v>1</v>
      </c>
      <c r="G127" s="62">
        <v>5000000</v>
      </c>
      <c r="H127" s="63">
        <f t="shared" si="4"/>
        <v>5000000</v>
      </c>
      <c r="I127" s="83" t="s">
        <v>137</v>
      </c>
    </row>
    <row r="128" spans="1:9" x14ac:dyDescent="0.2">
      <c r="A128" s="60"/>
      <c r="B128" s="60">
        <v>58</v>
      </c>
      <c r="C128" s="60" t="s">
        <v>7</v>
      </c>
      <c r="D128" s="60"/>
      <c r="E128" s="87" t="s">
        <v>117</v>
      </c>
      <c r="F128" s="87">
        <v>2</v>
      </c>
      <c r="G128" s="62">
        <v>5000000</v>
      </c>
      <c r="H128" s="63">
        <f t="shared" si="4"/>
        <v>10000000</v>
      </c>
      <c r="I128" s="83" t="s">
        <v>137</v>
      </c>
    </row>
    <row r="129" spans="1:9" x14ac:dyDescent="0.2">
      <c r="A129" s="60"/>
      <c r="B129" s="60">
        <v>59</v>
      </c>
      <c r="C129" s="60" t="s">
        <v>166</v>
      </c>
      <c r="D129" s="60"/>
      <c r="E129" s="87" t="s">
        <v>117</v>
      </c>
      <c r="F129" s="87">
        <v>1</v>
      </c>
      <c r="G129" s="62">
        <v>2000000</v>
      </c>
      <c r="H129" s="63">
        <f t="shared" si="4"/>
        <v>2000000</v>
      </c>
      <c r="I129" s="83" t="s">
        <v>137</v>
      </c>
    </row>
    <row r="130" spans="1:9" x14ac:dyDescent="0.2">
      <c r="A130" s="60"/>
      <c r="B130" s="60">
        <v>60</v>
      </c>
      <c r="C130" s="60" t="s">
        <v>167</v>
      </c>
      <c r="D130" s="60"/>
      <c r="E130" s="87" t="s">
        <v>183</v>
      </c>
      <c r="F130" s="87">
        <v>1</v>
      </c>
      <c r="G130" s="62">
        <v>500000</v>
      </c>
      <c r="H130" s="63">
        <f t="shared" si="4"/>
        <v>500000</v>
      </c>
      <c r="I130" s="83" t="s">
        <v>137</v>
      </c>
    </row>
    <row r="131" spans="1:9" x14ac:dyDescent="0.2">
      <c r="A131" s="60"/>
      <c r="B131" s="60">
        <v>61</v>
      </c>
      <c r="C131" s="60" t="s">
        <v>168</v>
      </c>
      <c r="D131" s="60"/>
      <c r="E131" s="87" t="s">
        <v>183</v>
      </c>
      <c r="F131" s="87">
        <v>2</v>
      </c>
      <c r="G131" s="62">
        <v>1000000</v>
      </c>
      <c r="H131" s="63">
        <f t="shared" si="4"/>
        <v>2000000</v>
      </c>
      <c r="I131" s="83" t="s">
        <v>137</v>
      </c>
    </row>
    <row r="132" spans="1:9" x14ac:dyDescent="0.2">
      <c r="A132" s="60"/>
      <c r="B132" s="60">
        <v>62</v>
      </c>
      <c r="C132" s="60" t="s">
        <v>169</v>
      </c>
      <c r="D132" s="60"/>
      <c r="E132" s="87" t="s">
        <v>182</v>
      </c>
      <c r="F132" s="87">
        <v>4</v>
      </c>
      <c r="G132" s="62">
        <v>300000</v>
      </c>
      <c r="H132" s="63">
        <f t="shared" si="4"/>
        <v>1200000</v>
      </c>
      <c r="I132" s="83" t="s">
        <v>137</v>
      </c>
    </row>
    <row r="133" spans="1:9" x14ac:dyDescent="0.2">
      <c r="A133" s="60"/>
      <c r="B133" s="60">
        <v>63</v>
      </c>
      <c r="C133" s="60" t="s">
        <v>170</v>
      </c>
      <c r="D133" s="60"/>
      <c r="E133" s="87" t="s">
        <v>117</v>
      </c>
      <c r="F133" s="87">
        <v>7</v>
      </c>
      <c r="G133" s="62">
        <v>120000</v>
      </c>
      <c r="H133" s="63">
        <f t="shared" si="4"/>
        <v>840000</v>
      </c>
      <c r="I133" s="83" t="s">
        <v>137</v>
      </c>
    </row>
    <row r="134" spans="1:9" x14ac:dyDescent="0.2">
      <c r="A134" s="60"/>
      <c r="B134" s="60">
        <v>64</v>
      </c>
      <c r="C134" s="60" t="s">
        <v>171</v>
      </c>
      <c r="D134" s="60"/>
      <c r="E134" s="87" t="s">
        <v>154</v>
      </c>
      <c r="F134" s="87">
        <v>1</v>
      </c>
      <c r="G134" s="62">
        <v>200000</v>
      </c>
      <c r="H134" s="63">
        <f t="shared" si="4"/>
        <v>200000</v>
      </c>
      <c r="I134" s="83" t="s">
        <v>137</v>
      </c>
    </row>
    <row r="135" spans="1:9" x14ac:dyDescent="0.2">
      <c r="A135" s="60"/>
      <c r="B135" s="60">
        <v>65</v>
      </c>
      <c r="C135" s="60" t="s">
        <v>172</v>
      </c>
      <c r="D135" s="60"/>
      <c r="E135" s="87" t="s">
        <v>154</v>
      </c>
      <c r="F135" s="87">
        <v>1</v>
      </c>
      <c r="G135" s="62">
        <v>500000</v>
      </c>
      <c r="H135" s="63">
        <f t="shared" si="4"/>
        <v>500000</v>
      </c>
      <c r="I135" s="83" t="s">
        <v>137</v>
      </c>
    </row>
    <row r="136" spans="1:9" x14ac:dyDescent="0.2">
      <c r="A136" s="60"/>
      <c r="B136" s="60">
        <v>66</v>
      </c>
      <c r="C136" s="60" t="s">
        <v>173</v>
      </c>
      <c r="D136" s="60"/>
      <c r="E136" s="87" t="s">
        <v>117</v>
      </c>
      <c r="F136" s="87">
        <v>1</v>
      </c>
      <c r="G136" s="62">
        <v>500000</v>
      </c>
      <c r="H136" s="63">
        <f t="shared" si="4"/>
        <v>500000</v>
      </c>
      <c r="I136" s="83" t="s">
        <v>137</v>
      </c>
    </row>
    <row r="137" spans="1:9" x14ac:dyDescent="0.2">
      <c r="A137" s="60"/>
      <c r="B137" s="60">
        <v>67</v>
      </c>
      <c r="C137" s="60" t="s">
        <v>174</v>
      </c>
      <c r="D137" s="60" t="s">
        <v>175</v>
      </c>
      <c r="E137" s="87" t="s">
        <v>107</v>
      </c>
      <c r="F137" s="87">
        <v>45</v>
      </c>
      <c r="G137" s="62">
        <v>80000</v>
      </c>
      <c r="H137" s="63">
        <f t="shared" si="4"/>
        <v>3600000</v>
      </c>
      <c r="I137" s="83" t="s">
        <v>137</v>
      </c>
    </row>
    <row r="138" spans="1:9" x14ac:dyDescent="0.2">
      <c r="A138" s="60"/>
      <c r="B138" s="60">
        <v>68</v>
      </c>
      <c r="C138" s="60" t="s">
        <v>176</v>
      </c>
      <c r="D138" s="60"/>
      <c r="E138" s="87" t="s">
        <v>107</v>
      </c>
      <c r="F138" s="87">
        <v>50</v>
      </c>
      <c r="G138" s="62">
        <v>12000</v>
      </c>
      <c r="H138" s="63">
        <f t="shared" si="4"/>
        <v>600000</v>
      </c>
      <c r="I138" s="83" t="s">
        <v>137</v>
      </c>
    </row>
    <row r="139" spans="1:9" x14ac:dyDescent="0.2">
      <c r="A139" s="60"/>
      <c r="B139" s="60">
        <v>69</v>
      </c>
      <c r="C139" s="60" t="s">
        <v>177</v>
      </c>
      <c r="D139" s="60"/>
      <c r="E139" s="87" t="s">
        <v>117</v>
      </c>
      <c r="F139" s="87">
        <v>1</v>
      </c>
      <c r="G139" s="62">
        <v>1000000</v>
      </c>
      <c r="H139" s="63">
        <f t="shared" si="4"/>
        <v>1000000</v>
      </c>
      <c r="I139" s="83" t="s">
        <v>137</v>
      </c>
    </row>
    <row r="140" spans="1:9" x14ac:dyDescent="0.2">
      <c r="A140" s="60"/>
      <c r="B140" s="60">
        <v>70</v>
      </c>
      <c r="C140" s="60" t="s">
        <v>49</v>
      </c>
      <c r="D140" s="60"/>
      <c r="E140" s="87" t="s">
        <v>117</v>
      </c>
      <c r="F140" s="87">
        <v>3</v>
      </c>
      <c r="G140" s="62">
        <v>100000</v>
      </c>
      <c r="H140" s="63">
        <f t="shared" si="4"/>
        <v>300000</v>
      </c>
      <c r="I140" s="83" t="s">
        <v>137</v>
      </c>
    </row>
    <row r="141" spans="1:9" x14ac:dyDescent="0.2">
      <c r="A141" s="60"/>
      <c r="B141" s="60">
        <v>71</v>
      </c>
      <c r="C141" s="60" t="s">
        <v>178</v>
      </c>
      <c r="D141" s="60"/>
      <c r="E141" s="87" t="s">
        <v>181</v>
      </c>
      <c r="F141" s="87">
        <v>1</v>
      </c>
      <c r="G141" s="62">
        <v>500000</v>
      </c>
      <c r="H141" s="63">
        <f t="shared" si="4"/>
        <v>500000</v>
      </c>
      <c r="I141" s="83" t="s">
        <v>137</v>
      </c>
    </row>
    <row r="142" spans="1:9" x14ac:dyDescent="0.2">
      <c r="A142" s="60"/>
      <c r="B142" s="60">
        <v>72</v>
      </c>
      <c r="C142" s="60" t="s">
        <v>179</v>
      </c>
      <c r="D142" s="60"/>
      <c r="E142" s="87" t="s">
        <v>76</v>
      </c>
      <c r="F142" s="87">
        <v>6</v>
      </c>
      <c r="G142" s="62">
        <v>1000000</v>
      </c>
      <c r="H142" s="63">
        <f t="shared" si="4"/>
        <v>6000000</v>
      </c>
      <c r="I142" s="83" t="s">
        <v>137</v>
      </c>
    </row>
    <row r="143" spans="1:9" x14ac:dyDescent="0.2">
      <c r="A143" s="60"/>
      <c r="B143" s="60">
        <v>73</v>
      </c>
      <c r="C143" s="60" t="s">
        <v>180</v>
      </c>
      <c r="D143" s="60"/>
      <c r="E143" s="87" t="s">
        <v>107</v>
      </c>
      <c r="F143" s="87">
        <v>20</v>
      </c>
      <c r="G143" s="62">
        <v>130000</v>
      </c>
      <c r="H143" s="63">
        <f t="shared" si="4"/>
        <v>2600000</v>
      </c>
      <c r="I143" s="83" t="s">
        <v>137</v>
      </c>
    </row>
    <row r="144" spans="1:9" x14ac:dyDescent="0.2">
      <c r="A144" s="60"/>
      <c r="B144" s="60">
        <v>74</v>
      </c>
      <c r="C144" s="60" t="s">
        <v>185</v>
      </c>
      <c r="D144" s="60"/>
      <c r="E144" s="87"/>
      <c r="F144" s="87">
        <v>2</v>
      </c>
      <c r="G144" s="62">
        <v>500000</v>
      </c>
      <c r="H144" s="63">
        <f t="shared" si="4"/>
        <v>1000000</v>
      </c>
      <c r="I144" s="83" t="s">
        <v>137</v>
      </c>
    </row>
    <row r="145" spans="1:9" x14ac:dyDescent="0.2">
      <c r="A145" s="60"/>
      <c r="B145" s="60">
        <v>75</v>
      </c>
      <c r="C145" s="60" t="s">
        <v>186</v>
      </c>
      <c r="D145" s="60"/>
      <c r="E145" s="87"/>
      <c r="F145" s="87">
        <v>3</v>
      </c>
      <c r="G145" s="62">
        <v>500000</v>
      </c>
      <c r="H145" s="63">
        <f t="shared" si="4"/>
        <v>1500000</v>
      </c>
      <c r="I145" s="83" t="s">
        <v>137</v>
      </c>
    </row>
    <row r="146" spans="1:9" x14ac:dyDescent="0.2">
      <c r="A146" s="60"/>
      <c r="B146" s="60">
        <v>76</v>
      </c>
      <c r="C146" s="60" t="s">
        <v>187</v>
      </c>
      <c r="D146" s="60"/>
      <c r="E146" s="87"/>
      <c r="F146" s="87">
        <v>2</v>
      </c>
      <c r="G146" s="62">
        <v>16000000</v>
      </c>
      <c r="H146" s="63">
        <f t="shared" si="4"/>
        <v>32000000</v>
      </c>
      <c r="I146" s="83" t="s">
        <v>137</v>
      </c>
    </row>
    <row r="147" spans="1:9" x14ac:dyDescent="0.2">
      <c r="A147" s="60"/>
      <c r="B147" s="60">
        <v>77</v>
      </c>
      <c r="C147" s="60" t="s">
        <v>188</v>
      </c>
      <c r="D147" s="60"/>
      <c r="E147" s="87"/>
      <c r="F147" s="87">
        <v>1</v>
      </c>
      <c r="G147" s="62">
        <v>200000</v>
      </c>
      <c r="H147" s="63">
        <f t="shared" si="4"/>
        <v>200000</v>
      </c>
      <c r="I147" s="83" t="s">
        <v>137</v>
      </c>
    </row>
    <row r="148" spans="1:9" x14ac:dyDescent="0.2">
      <c r="A148" s="60"/>
      <c r="B148" s="60">
        <v>78</v>
      </c>
      <c r="C148" s="60" t="s">
        <v>189</v>
      </c>
      <c r="D148" s="60" t="s">
        <v>251</v>
      </c>
      <c r="E148" s="87"/>
      <c r="F148" s="87">
        <v>1</v>
      </c>
      <c r="G148" s="62">
        <v>5000000</v>
      </c>
      <c r="H148" s="63">
        <f t="shared" si="4"/>
        <v>5000000</v>
      </c>
      <c r="I148" s="83" t="s">
        <v>137</v>
      </c>
    </row>
    <row r="149" spans="1:9" x14ac:dyDescent="0.2">
      <c r="A149" s="60"/>
      <c r="B149" s="60">
        <v>79</v>
      </c>
      <c r="C149" s="60" t="s">
        <v>190</v>
      </c>
      <c r="D149" s="60"/>
      <c r="E149" s="87"/>
      <c r="F149" s="87">
        <v>1</v>
      </c>
      <c r="G149" s="62">
        <v>200000</v>
      </c>
      <c r="H149" s="63">
        <f t="shared" si="4"/>
        <v>200000</v>
      </c>
      <c r="I149" s="83" t="s">
        <v>137</v>
      </c>
    </row>
    <row r="150" spans="1:9" x14ac:dyDescent="0.2">
      <c r="A150" s="60"/>
      <c r="B150" s="60">
        <v>80</v>
      </c>
      <c r="C150" s="60" t="s">
        <v>191</v>
      </c>
      <c r="D150" s="60" t="s">
        <v>192</v>
      </c>
      <c r="E150" s="87"/>
      <c r="F150" s="87">
        <v>8</v>
      </c>
      <c r="G150" s="62">
        <v>50000</v>
      </c>
      <c r="H150" s="63">
        <f t="shared" si="4"/>
        <v>400000</v>
      </c>
      <c r="I150" s="83" t="s">
        <v>137</v>
      </c>
    </row>
    <row r="151" spans="1:9" x14ac:dyDescent="0.2">
      <c r="A151" s="60"/>
      <c r="B151" s="60">
        <v>81</v>
      </c>
      <c r="C151" s="60" t="s">
        <v>193</v>
      </c>
      <c r="D151" s="60" t="s">
        <v>194</v>
      </c>
      <c r="E151" s="87"/>
      <c r="F151" s="87">
        <v>20</v>
      </c>
      <c r="G151" s="62">
        <v>150000</v>
      </c>
      <c r="H151" s="63">
        <f t="shared" si="4"/>
        <v>3000000</v>
      </c>
      <c r="I151" s="83" t="s">
        <v>137</v>
      </c>
    </row>
    <row r="152" spans="1:9" x14ac:dyDescent="0.2">
      <c r="A152" s="60"/>
      <c r="B152" s="60">
        <v>82</v>
      </c>
      <c r="C152" s="60" t="s">
        <v>195</v>
      </c>
      <c r="D152" s="60"/>
      <c r="E152" s="87"/>
      <c r="F152" s="87">
        <v>2</v>
      </c>
      <c r="G152" s="62">
        <v>15000000</v>
      </c>
      <c r="H152" s="63">
        <f t="shared" si="4"/>
        <v>30000000</v>
      </c>
      <c r="I152" s="83" t="s">
        <v>137</v>
      </c>
    </row>
    <row r="153" spans="1:9" x14ac:dyDescent="0.2">
      <c r="A153" s="60"/>
      <c r="B153" s="60">
        <v>83</v>
      </c>
      <c r="C153" s="60" t="s">
        <v>196</v>
      </c>
      <c r="D153" s="60"/>
      <c r="E153" s="87"/>
      <c r="F153" s="87">
        <v>2</v>
      </c>
      <c r="G153" s="62">
        <v>5000000</v>
      </c>
      <c r="H153" s="63">
        <f t="shared" si="4"/>
        <v>10000000</v>
      </c>
      <c r="I153" s="83" t="s">
        <v>137</v>
      </c>
    </row>
    <row r="154" spans="1:9" x14ac:dyDescent="0.2">
      <c r="A154" s="60"/>
      <c r="B154" s="60">
        <v>84</v>
      </c>
      <c r="C154" s="60" t="s">
        <v>197</v>
      </c>
      <c r="D154" s="60"/>
      <c r="E154" s="87"/>
      <c r="F154" s="87">
        <v>2</v>
      </c>
      <c r="G154" s="62">
        <v>1500000</v>
      </c>
      <c r="H154" s="63">
        <f t="shared" si="4"/>
        <v>3000000</v>
      </c>
      <c r="I154" s="83" t="s">
        <v>137</v>
      </c>
    </row>
    <row r="155" spans="1:9" x14ac:dyDescent="0.2">
      <c r="A155" s="60"/>
      <c r="B155" s="60">
        <v>85</v>
      </c>
      <c r="C155" s="60" t="s">
        <v>198</v>
      </c>
      <c r="D155" s="60"/>
      <c r="E155" s="87"/>
      <c r="F155" s="87">
        <v>15</v>
      </c>
      <c r="G155" s="62">
        <v>100000</v>
      </c>
      <c r="H155" s="63">
        <f t="shared" si="4"/>
        <v>1500000</v>
      </c>
      <c r="I155" s="83" t="s">
        <v>137</v>
      </c>
    </row>
    <row r="156" spans="1:9" x14ac:dyDescent="0.2">
      <c r="A156" s="60"/>
      <c r="B156" s="60">
        <v>86</v>
      </c>
      <c r="C156" s="60" t="s">
        <v>83</v>
      </c>
      <c r="D156" s="60" t="s">
        <v>199</v>
      </c>
      <c r="E156" s="87"/>
      <c r="F156" s="87">
        <v>3</v>
      </c>
      <c r="G156" s="62">
        <v>5000000</v>
      </c>
      <c r="H156" s="63">
        <f t="shared" si="4"/>
        <v>15000000</v>
      </c>
      <c r="I156" s="83" t="s">
        <v>137</v>
      </c>
    </row>
    <row r="157" spans="1:9" x14ac:dyDescent="0.2">
      <c r="A157" s="60"/>
      <c r="B157" s="60">
        <v>87</v>
      </c>
      <c r="C157" s="60" t="s">
        <v>200</v>
      </c>
      <c r="D157" s="60" t="s">
        <v>201</v>
      </c>
      <c r="E157" s="87"/>
      <c r="F157" s="87">
        <v>7</v>
      </c>
      <c r="G157" s="62">
        <v>18000000</v>
      </c>
      <c r="H157" s="63">
        <f t="shared" si="4"/>
        <v>126000000</v>
      </c>
      <c r="I157" s="83" t="s">
        <v>137</v>
      </c>
    </row>
    <row r="158" spans="1:9" x14ac:dyDescent="0.2">
      <c r="A158" s="60"/>
      <c r="B158" s="60">
        <v>88</v>
      </c>
      <c r="C158" s="60" t="s">
        <v>202</v>
      </c>
      <c r="D158" s="60"/>
      <c r="E158" s="87"/>
      <c r="F158" s="87">
        <v>1</v>
      </c>
      <c r="G158" s="62">
        <v>600000000</v>
      </c>
      <c r="H158" s="63">
        <f t="shared" si="4"/>
        <v>600000000</v>
      </c>
      <c r="I158" s="83" t="s">
        <v>137</v>
      </c>
    </row>
    <row r="159" spans="1:9" x14ac:dyDescent="0.2">
      <c r="A159" s="60"/>
      <c r="B159" s="60">
        <v>89</v>
      </c>
      <c r="C159" s="60" t="s">
        <v>203</v>
      </c>
      <c r="D159" s="60"/>
      <c r="E159" s="87"/>
      <c r="F159" s="87">
        <v>1</v>
      </c>
      <c r="G159" s="62">
        <v>250000000</v>
      </c>
      <c r="H159" s="63">
        <f t="shared" si="4"/>
        <v>250000000</v>
      </c>
      <c r="I159" s="83" t="s">
        <v>137</v>
      </c>
    </row>
    <row r="160" spans="1:9" x14ac:dyDescent="0.2">
      <c r="A160" s="60"/>
      <c r="B160" s="60">
        <v>90</v>
      </c>
      <c r="C160" s="60" t="s">
        <v>204</v>
      </c>
      <c r="D160" s="60"/>
      <c r="E160" s="87"/>
      <c r="F160" s="87">
        <v>1</v>
      </c>
      <c r="G160" s="62">
        <v>150000000</v>
      </c>
      <c r="H160" s="63">
        <f t="shared" si="4"/>
        <v>150000000</v>
      </c>
      <c r="I160" s="83" t="s">
        <v>137</v>
      </c>
    </row>
    <row r="161" spans="1:9" x14ac:dyDescent="0.2">
      <c r="A161" s="60"/>
      <c r="B161" s="60">
        <v>91</v>
      </c>
      <c r="C161" s="60" t="s">
        <v>205</v>
      </c>
      <c r="D161" s="60"/>
      <c r="E161" s="87"/>
      <c r="F161" s="87">
        <v>1</v>
      </c>
      <c r="G161" s="92">
        <v>1000000000</v>
      </c>
      <c r="H161" s="93">
        <f t="shared" si="4"/>
        <v>1000000000</v>
      </c>
      <c r="I161" s="83" t="s">
        <v>137</v>
      </c>
    </row>
    <row r="162" spans="1:9" x14ac:dyDescent="0.2">
      <c r="A162" s="60"/>
      <c r="B162" s="60">
        <v>92</v>
      </c>
      <c r="C162" s="60" t="s">
        <v>206</v>
      </c>
      <c r="D162" s="60"/>
      <c r="E162" s="87"/>
      <c r="F162" s="87">
        <v>2</v>
      </c>
      <c r="G162" s="62">
        <v>50000000</v>
      </c>
      <c r="H162" s="63">
        <f t="shared" si="4"/>
        <v>100000000</v>
      </c>
      <c r="I162" s="83" t="s">
        <v>137</v>
      </c>
    </row>
    <row r="163" spans="1:9" x14ac:dyDescent="0.2">
      <c r="A163" s="60"/>
      <c r="B163" s="60">
        <v>93</v>
      </c>
      <c r="C163" s="60" t="s">
        <v>207</v>
      </c>
      <c r="D163" s="60"/>
      <c r="E163" s="87"/>
      <c r="F163" s="87">
        <v>1</v>
      </c>
      <c r="G163" s="62">
        <v>70000000</v>
      </c>
      <c r="H163" s="63">
        <f t="shared" si="4"/>
        <v>70000000</v>
      </c>
      <c r="I163" s="83" t="s">
        <v>137</v>
      </c>
    </row>
    <row r="164" spans="1:9" x14ac:dyDescent="0.2">
      <c r="A164" s="60"/>
      <c r="B164" s="60">
        <v>94</v>
      </c>
      <c r="C164" s="60" t="s">
        <v>208</v>
      </c>
      <c r="D164" s="60"/>
      <c r="E164" s="87"/>
      <c r="F164" s="87">
        <v>1</v>
      </c>
      <c r="G164" s="62">
        <v>30000000</v>
      </c>
      <c r="H164" s="63">
        <f t="shared" si="4"/>
        <v>30000000</v>
      </c>
      <c r="I164" s="83" t="s">
        <v>137</v>
      </c>
    </row>
    <row r="165" spans="1:9" x14ac:dyDescent="0.2">
      <c r="A165" s="60"/>
      <c r="B165" s="60">
        <v>95</v>
      </c>
      <c r="C165" s="60" t="s">
        <v>209</v>
      </c>
      <c r="D165" s="60"/>
      <c r="E165" s="87"/>
      <c r="F165" s="87">
        <v>3</v>
      </c>
      <c r="G165" s="62">
        <v>200000000</v>
      </c>
      <c r="H165" s="63">
        <f t="shared" si="4"/>
        <v>600000000</v>
      </c>
      <c r="I165" s="83" t="s">
        <v>137</v>
      </c>
    </row>
    <row r="166" spans="1:9" x14ac:dyDescent="0.2">
      <c r="A166" s="60"/>
      <c r="B166" s="60">
        <v>96</v>
      </c>
      <c r="C166" s="60" t="s">
        <v>115</v>
      </c>
      <c r="D166" s="60"/>
      <c r="E166" s="87"/>
      <c r="F166" s="87">
        <v>1</v>
      </c>
      <c r="G166" s="62">
        <v>350000000</v>
      </c>
      <c r="H166" s="63">
        <f t="shared" si="4"/>
        <v>350000000</v>
      </c>
      <c r="I166" s="83" t="s">
        <v>137</v>
      </c>
    </row>
    <row r="167" spans="1:9" x14ac:dyDescent="0.2">
      <c r="A167" s="60"/>
      <c r="B167" s="60">
        <v>97</v>
      </c>
      <c r="C167" s="60" t="s">
        <v>210</v>
      </c>
      <c r="D167" s="60"/>
      <c r="E167" s="87"/>
      <c r="F167" s="87">
        <v>1</v>
      </c>
      <c r="G167" s="62">
        <v>20000000</v>
      </c>
      <c r="H167" s="63">
        <f t="shared" si="4"/>
        <v>20000000</v>
      </c>
      <c r="I167" s="83" t="s">
        <v>137</v>
      </c>
    </row>
    <row r="168" spans="1:9" x14ac:dyDescent="0.2">
      <c r="A168" s="60"/>
      <c r="B168" s="60">
        <v>98</v>
      </c>
      <c r="C168" s="60" t="s">
        <v>211</v>
      </c>
      <c r="D168" s="60"/>
      <c r="E168" s="87"/>
      <c r="F168" s="87">
        <v>1</v>
      </c>
      <c r="G168" s="62">
        <v>400000</v>
      </c>
      <c r="H168" s="63">
        <f t="shared" si="4"/>
        <v>400000</v>
      </c>
      <c r="I168" s="83" t="s">
        <v>137</v>
      </c>
    </row>
    <row r="169" spans="1:9" x14ac:dyDescent="0.2">
      <c r="A169" s="60"/>
      <c r="B169" s="60">
        <v>99</v>
      </c>
      <c r="C169" s="60" t="s">
        <v>7</v>
      </c>
      <c r="D169" s="60"/>
      <c r="E169" s="87"/>
      <c r="F169" s="87">
        <v>1</v>
      </c>
      <c r="G169" s="62">
        <v>5000000</v>
      </c>
      <c r="H169" s="63">
        <f t="shared" ref="H169:H198" si="5">F169*G169</f>
        <v>5000000</v>
      </c>
      <c r="I169" s="83" t="s">
        <v>137</v>
      </c>
    </row>
    <row r="170" spans="1:9" x14ac:dyDescent="0.2">
      <c r="A170" s="60"/>
      <c r="B170" s="60">
        <v>100</v>
      </c>
      <c r="C170" s="60" t="s">
        <v>5</v>
      </c>
      <c r="D170" s="60"/>
      <c r="E170" s="87"/>
      <c r="F170" s="87">
        <v>1</v>
      </c>
      <c r="G170" s="62">
        <v>4000000</v>
      </c>
      <c r="H170" s="63">
        <f t="shared" si="5"/>
        <v>4000000</v>
      </c>
      <c r="I170" s="83" t="s">
        <v>137</v>
      </c>
    </row>
    <row r="171" spans="1:9" x14ac:dyDescent="0.2">
      <c r="A171" s="60"/>
      <c r="B171" s="60">
        <v>101</v>
      </c>
      <c r="C171" s="60" t="s">
        <v>212</v>
      </c>
      <c r="D171" s="60" t="s">
        <v>213</v>
      </c>
      <c r="E171" s="87"/>
      <c r="F171" s="87">
        <v>1</v>
      </c>
      <c r="G171" s="62">
        <v>5000000</v>
      </c>
      <c r="H171" s="63">
        <f t="shared" si="5"/>
        <v>5000000</v>
      </c>
      <c r="I171" s="83" t="s">
        <v>137</v>
      </c>
    </row>
    <row r="172" spans="1:9" x14ac:dyDescent="0.2">
      <c r="A172" s="60"/>
      <c r="B172" s="60">
        <v>102</v>
      </c>
      <c r="C172" s="60" t="s">
        <v>214</v>
      </c>
      <c r="D172" s="60"/>
      <c r="E172" s="87"/>
      <c r="F172" s="87">
        <v>1</v>
      </c>
      <c r="G172" s="62">
        <v>15000000</v>
      </c>
      <c r="H172" s="63">
        <f t="shared" si="5"/>
        <v>15000000</v>
      </c>
      <c r="I172" s="83" t="s">
        <v>137</v>
      </c>
    </row>
    <row r="173" spans="1:9" x14ac:dyDescent="0.2">
      <c r="A173" s="60"/>
      <c r="B173" s="60">
        <v>103</v>
      </c>
      <c r="C173" s="60" t="s">
        <v>215</v>
      </c>
      <c r="D173" s="60" t="s">
        <v>216</v>
      </c>
      <c r="E173" s="87"/>
      <c r="F173" s="87">
        <v>7</v>
      </c>
      <c r="G173" s="62">
        <f>12*1.51*1.04*7.85*13000</f>
        <v>1923111.8400000003</v>
      </c>
      <c r="H173" s="63">
        <f t="shared" si="5"/>
        <v>13461782.880000003</v>
      </c>
      <c r="I173" s="83" t="s">
        <v>137</v>
      </c>
    </row>
    <row r="174" spans="1:9" x14ac:dyDescent="0.2">
      <c r="A174" s="60"/>
      <c r="B174" s="60">
        <v>104</v>
      </c>
      <c r="C174" s="60" t="s">
        <v>217</v>
      </c>
      <c r="D174" s="60" t="s">
        <v>218</v>
      </c>
      <c r="E174" s="87"/>
      <c r="F174" s="87">
        <v>12</v>
      </c>
      <c r="G174" s="62">
        <f>12*1.83*0.31*7.85*13000</f>
        <v>694715.58</v>
      </c>
      <c r="H174" s="63">
        <f t="shared" si="5"/>
        <v>8336586.959999999</v>
      </c>
      <c r="I174" s="83" t="s">
        <v>137</v>
      </c>
    </row>
    <row r="175" spans="1:9" x14ac:dyDescent="0.2">
      <c r="A175" s="60"/>
      <c r="B175" s="60">
        <v>105</v>
      </c>
      <c r="C175" s="60" t="s">
        <v>217</v>
      </c>
      <c r="D175" s="60" t="s">
        <v>219</v>
      </c>
      <c r="E175" s="87"/>
      <c r="F175" s="87">
        <v>4</v>
      </c>
      <c r="G175" s="62">
        <v>300000</v>
      </c>
      <c r="H175" s="63">
        <f t="shared" si="5"/>
        <v>1200000</v>
      </c>
      <c r="I175" s="83" t="s">
        <v>137</v>
      </c>
    </row>
    <row r="176" spans="1:9" x14ac:dyDescent="0.2">
      <c r="A176" s="60"/>
      <c r="B176" s="60">
        <v>106</v>
      </c>
      <c r="C176" s="60" t="s">
        <v>220</v>
      </c>
      <c r="D176" s="60" t="s">
        <v>221</v>
      </c>
      <c r="E176" s="87"/>
      <c r="F176" s="87">
        <v>1</v>
      </c>
      <c r="G176" s="62">
        <v>500000</v>
      </c>
      <c r="H176" s="63">
        <f t="shared" si="5"/>
        <v>500000</v>
      </c>
      <c r="I176" s="83" t="s">
        <v>137</v>
      </c>
    </row>
    <row r="177" spans="1:9" x14ac:dyDescent="0.2">
      <c r="A177" s="60"/>
      <c r="B177" s="60">
        <v>107</v>
      </c>
      <c r="C177" s="60" t="s">
        <v>222</v>
      </c>
      <c r="D177" s="60"/>
      <c r="E177" s="87"/>
      <c r="F177" s="87">
        <v>2</v>
      </c>
      <c r="G177" s="62">
        <v>1000000</v>
      </c>
      <c r="H177" s="63">
        <f t="shared" si="5"/>
        <v>2000000</v>
      </c>
      <c r="I177" s="83" t="s">
        <v>137</v>
      </c>
    </row>
    <row r="178" spans="1:9" x14ac:dyDescent="0.2">
      <c r="A178" s="60"/>
      <c r="B178" s="60">
        <v>108</v>
      </c>
      <c r="C178" s="60" t="s">
        <v>223</v>
      </c>
      <c r="D178" s="60"/>
      <c r="E178" s="87"/>
      <c r="F178" s="87">
        <v>2</v>
      </c>
      <c r="G178" s="62">
        <v>500000</v>
      </c>
      <c r="H178" s="63">
        <f t="shared" si="5"/>
        <v>1000000</v>
      </c>
      <c r="I178" s="83" t="s">
        <v>137</v>
      </c>
    </row>
    <row r="179" spans="1:9" x14ac:dyDescent="0.2">
      <c r="A179" s="60"/>
      <c r="B179" s="60">
        <v>109</v>
      </c>
      <c r="C179" s="60" t="s">
        <v>127</v>
      </c>
      <c r="D179" s="60"/>
      <c r="E179" s="87"/>
      <c r="F179" s="87">
        <v>1</v>
      </c>
      <c r="G179" s="62">
        <v>5000000</v>
      </c>
      <c r="H179" s="63">
        <f t="shared" si="5"/>
        <v>5000000</v>
      </c>
      <c r="I179" s="83" t="s">
        <v>137</v>
      </c>
    </row>
    <row r="180" spans="1:9" x14ac:dyDescent="0.2">
      <c r="A180" s="60"/>
      <c r="B180" s="60">
        <v>110</v>
      </c>
      <c r="C180" s="60" t="s">
        <v>224</v>
      </c>
      <c r="D180" s="60" t="s">
        <v>225</v>
      </c>
      <c r="E180" s="87"/>
      <c r="F180" s="87">
        <v>2</v>
      </c>
      <c r="G180" s="62">
        <v>500000</v>
      </c>
      <c r="H180" s="63">
        <f t="shared" si="5"/>
        <v>1000000</v>
      </c>
      <c r="I180" s="83" t="s">
        <v>137</v>
      </c>
    </row>
    <row r="181" spans="1:9" x14ac:dyDescent="0.2">
      <c r="A181" s="60"/>
      <c r="B181" s="60">
        <v>111</v>
      </c>
      <c r="C181" s="60" t="s">
        <v>226</v>
      </c>
      <c r="D181" s="60" t="s">
        <v>227</v>
      </c>
      <c r="E181" s="87"/>
      <c r="F181" s="87">
        <v>2</v>
      </c>
      <c r="G181" s="62">
        <f>12*6*0.3*7.85*13000</f>
        <v>2204279.9999999995</v>
      </c>
      <c r="H181" s="63">
        <f t="shared" si="5"/>
        <v>4408559.9999999991</v>
      </c>
      <c r="I181" s="83" t="s">
        <v>137</v>
      </c>
    </row>
    <row r="182" spans="1:9" x14ac:dyDescent="0.2">
      <c r="A182" s="60"/>
      <c r="B182" s="60">
        <v>112</v>
      </c>
      <c r="C182" s="60" t="s">
        <v>228</v>
      </c>
      <c r="D182" s="60"/>
      <c r="E182" s="87"/>
      <c r="F182" s="87">
        <v>3</v>
      </c>
      <c r="G182" s="62">
        <v>500000</v>
      </c>
      <c r="H182" s="63">
        <f t="shared" si="5"/>
        <v>1500000</v>
      </c>
      <c r="I182" s="83" t="s">
        <v>137</v>
      </c>
    </row>
    <row r="183" spans="1:9" x14ac:dyDescent="0.2">
      <c r="A183" s="60"/>
      <c r="B183" s="60">
        <v>113</v>
      </c>
      <c r="C183" s="60" t="s">
        <v>229</v>
      </c>
      <c r="D183" s="60"/>
      <c r="E183" s="87"/>
      <c r="F183" s="87">
        <v>1</v>
      </c>
      <c r="G183" s="62">
        <v>1000000</v>
      </c>
      <c r="H183" s="63">
        <f t="shared" si="5"/>
        <v>1000000</v>
      </c>
      <c r="I183" s="83" t="s">
        <v>137</v>
      </c>
    </row>
    <row r="184" spans="1:9" x14ac:dyDescent="0.2">
      <c r="A184" s="60"/>
      <c r="B184" s="60">
        <v>114</v>
      </c>
      <c r="C184" s="60" t="s">
        <v>230</v>
      </c>
      <c r="D184" s="60"/>
      <c r="E184" s="87"/>
      <c r="F184" s="87">
        <v>7</v>
      </c>
      <c r="G184" s="62">
        <v>10000</v>
      </c>
      <c r="H184" s="63">
        <f t="shared" si="5"/>
        <v>70000</v>
      </c>
      <c r="I184" s="83" t="s">
        <v>137</v>
      </c>
    </row>
    <row r="185" spans="1:9" x14ac:dyDescent="0.2">
      <c r="A185" s="60"/>
      <c r="B185" s="60">
        <v>115</v>
      </c>
      <c r="C185" s="60" t="s">
        <v>231</v>
      </c>
      <c r="D185" s="60"/>
      <c r="E185" s="87"/>
      <c r="F185" s="87">
        <v>10</v>
      </c>
      <c r="G185" s="62">
        <v>300000</v>
      </c>
      <c r="H185" s="63">
        <f t="shared" si="5"/>
        <v>3000000</v>
      </c>
      <c r="I185" s="83" t="s">
        <v>137</v>
      </c>
    </row>
    <row r="186" spans="1:9" x14ac:dyDescent="0.2">
      <c r="A186" s="60"/>
      <c r="B186" s="60">
        <v>116</v>
      </c>
      <c r="C186" s="60" t="s">
        <v>232</v>
      </c>
      <c r="D186" s="60"/>
      <c r="E186" s="87"/>
      <c r="F186" s="87">
        <v>2</v>
      </c>
      <c r="G186" s="62">
        <v>12000000</v>
      </c>
      <c r="H186" s="63">
        <f t="shared" si="5"/>
        <v>24000000</v>
      </c>
      <c r="I186" s="83" t="s">
        <v>137</v>
      </c>
    </row>
    <row r="187" spans="1:9" x14ac:dyDescent="0.2">
      <c r="A187" s="60"/>
      <c r="B187" s="60">
        <v>117</v>
      </c>
      <c r="C187" s="60" t="s">
        <v>233</v>
      </c>
      <c r="D187" s="60"/>
      <c r="E187" s="87"/>
      <c r="F187" s="87">
        <v>1</v>
      </c>
      <c r="G187" s="62">
        <v>200000</v>
      </c>
      <c r="H187" s="63">
        <f t="shared" si="5"/>
        <v>200000</v>
      </c>
      <c r="I187" s="83" t="s">
        <v>137</v>
      </c>
    </row>
    <row r="188" spans="1:9" x14ac:dyDescent="0.2">
      <c r="A188" s="60"/>
      <c r="B188" s="60">
        <v>118</v>
      </c>
      <c r="C188" s="60" t="s">
        <v>234</v>
      </c>
      <c r="D188" s="60"/>
      <c r="E188" s="87"/>
      <c r="F188" s="87">
        <v>3</v>
      </c>
      <c r="G188" s="62">
        <v>10000000</v>
      </c>
      <c r="H188" s="63">
        <f t="shared" si="5"/>
        <v>30000000</v>
      </c>
      <c r="I188" s="83" t="s">
        <v>137</v>
      </c>
    </row>
    <row r="189" spans="1:9" x14ac:dyDescent="0.2">
      <c r="A189" s="60"/>
      <c r="B189" s="60">
        <v>119</v>
      </c>
      <c r="C189" s="60" t="s">
        <v>235</v>
      </c>
      <c r="D189" s="60" t="s">
        <v>236</v>
      </c>
      <c r="E189" s="87"/>
      <c r="F189" s="87">
        <v>1</v>
      </c>
      <c r="G189" s="62">
        <v>2000000</v>
      </c>
      <c r="H189" s="63">
        <f t="shared" si="5"/>
        <v>2000000</v>
      </c>
      <c r="I189" s="83" t="s">
        <v>137</v>
      </c>
    </row>
    <row r="190" spans="1:9" x14ac:dyDescent="0.2">
      <c r="A190" s="60"/>
      <c r="B190" s="60">
        <v>120</v>
      </c>
      <c r="C190" s="60" t="s">
        <v>237</v>
      </c>
      <c r="D190" s="60"/>
      <c r="E190" s="87"/>
      <c r="F190" s="87">
        <v>16</v>
      </c>
      <c r="G190" s="62">
        <v>1000000</v>
      </c>
      <c r="H190" s="63">
        <f t="shared" si="5"/>
        <v>16000000</v>
      </c>
      <c r="I190" s="83" t="s">
        <v>137</v>
      </c>
    </row>
    <row r="191" spans="1:9" x14ac:dyDescent="0.2">
      <c r="A191" s="60"/>
      <c r="B191" s="60">
        <v>121</v>
      </c>
      <c r="C191" s="60" t="s">
        <v>238</v>
      </c>
      <c r="D191" s="60"/>
      <c r="E191" s="87"/>
      <c r="F191" s="87">
        <v>6</v>
      </c>
      <c r="G191" s="62">
        <v>900000</v>
      </c>
      <c r="H191" s="63">
        <f t="shared" si="5"/>
        <v>5400000</v>
      </c>
      <c r="I191" s="83" t="s">
        <v>137</v>
      </c>
    </row>
    <row r="192" spans="1:9" x14ac:dyDescent="0.2">
      <c r="A192" s="60"/>
      <c r="B192" s="60">
        <v>122</v>
      </c>
      <c r="C192" s="60" t="s">
        <v>239</v>
      </c>
      <c r="D192" s="60"/>
      <c r="E192" s="87"/>
      <c r="F192" s="87">
        <v>2</v>
      </c>
      <c r="G192" s="62">
        <v>650000</v>
      </c>
      <c r="H192" s="63">
        <f t="shared" si="5"/>
        <v>1300000</v>
      </c>
      <c r="I192" s="83" t="s">
        <v>137</v>
      </c>
    </row>
    <row r="193" spans="1:9" x14ac:dyDescent="0.2">
      <c r="A193" s="60"/>
      <c r="B193" s="60">
        <v>123</v>
      </c>
      <c r="C193" s="60" t="s">
        <v>240</v>
      </c>
      <c r="D193" s="60"/>
      <c r="E193" s="87"/>
      <c r="F193" s="87">
        <v>1</v>
      </c>
      <c r="G193" s="62">
        <v>20000000</v>
      </c>
      <c r="H193" s="63">
        <f t="shared" si="5"/>
        <v>20000000</v>
      </c>
      <c r="I193" s="83" t="s">
        <v>137</v>
      </c>
    </row>
    <row r="194" spans="1:9" x14ac:dyDescent="0.2">
      <c r="A194" s="60"/>
      <c r="B194" s="60">
        <v>124</v>
      </c>
      <c r="C194" s="60" t="s">
        <v>241</v>
      </c>
      <c r="D194" s="60" t="s">
        <v>242</v>
      </c>
      <c r="E194" s="87"/>
      <c r="F194" s="87">
        <v>1</v>
      </c>
      <c r="G194" s="62">
        <f>1000*13000</f>
        <v>13000000</v>
      </c>
      <c r="H194" s="63">
        <f t="shared" si="5"/>
        <v>13000000</v>
      </c>
      <c r="I194" s="83" t="s">
        <v>137</v>
      </c>
    </row>
    <row r="195" spans="1:9" x14ac:dyDescent="0.2">
      <c r="A195" s="60"/>
      <c r="B195" s="60">
        <v>125</v>
      </c>
      <c r="C195" s="60" t="s">
        <v>243</v>
      </c>
      <c r="D195" s="60" t="s">
        <v>244</v>
      </c>
      <c r="E195" s="87"/>
      <c r="F195" s="87">
        <v>1</v>
      </c>
      <c r="G195" s="62">
        <v>5000000</v>
      </c>
      <c r="H195" s="63">
        <f t="shared" si="5"/>
        <v>5000000</v>
      </c>
      <c r="I195" s="83" t="s">
        <v>137</v>
      </c>
    </row>
    <row r="196" spans="1:9" x14ac:dyDescent="0.2">
      <c r="A196" s="60"/>
      <c r="B196" s="60">
        <v>126</v>
      </c>
      <c r="C196" s="60" t="s">
        <v>245</v>
      </c>
      <c r="D196" s="60"/>
      <c r="E196" s="87"/>
      <c r="F196" s="87">
        <v>5</v>
      </c>
      <c r="G196" s="62">
        <v>7000000</v>
      </c>
      <c r="H196" s="63">
        <f t="shared" si="5"/>
        <v>35000000</v>
      </c>
      <c r="I196" s="83" t="s">
        <v>137</v>
      </c>
    </row>
    <row r="197" spans="1:9" x14ac:dyDescent="0.2">
      <c r="A197" s="60"/>
      <c r="B197" s="60">
        <v>127</v>
      </c>
      <c r="C197" s="60" t="s">
        <v>246</v>
      </c>
      <c r="D197" s="60"/>
      <c r="E197" s="87"/>
      <c r="F197" s="87">
        <v>1</v>
      </c>
      <c r="G197" s="62">
        <v>5000000</v>
      </c>
      <c r="H197" s="63">
        <f t="shared" si="5"/>
        <v>5000000</v>
      </c>
      <c r="I197" s="83" t="s">
        <v>137</v>
      </c>
    </row>
    <row r="198" spans="1:9" x14ac:dyDescent="0.2">
      <c r="A198" s="60"/>
      <c r="B198" s="60">
        <v>128</v>
      </c>
      <c r="C198" s="60" t="s">
        <v>247</v>
      </c>
      <c r="D198" s="60"/>
      <c r="E198" s="87"/>
      <c r="F198" s="87">
        <v>1</v>
      </c>
      <c r="G198" s="62">
        <v>10000000</v>
      </c>
      <c r="H198" s="63">
        <f t="shared" si="5"/>
        <v>10000000</v>
      </c>
      <c r="I198" s="83" t="s">
        <v>137</v>
      </c>
    </row>
    <row r="199" spans="1:9" x14ac:dyDescent="0.2">
      <c r="A199" s="64"/>
      <c r="B199" s="64"/>
      <c r="C199" s="64"/>
      <c r="D199" s="64"/>
      <c r="E199" s="88"/>
      <c r="F199" s="88"/>
      <c r="G199" s="65"/>
      <c r="H199" s="91">
        <f>SUBTOTAL(9,H104:H198)</f>
        <v>3756826085.04</v>
      </c>
      <c r="I199" s="84" t="s">
        <v>137</v>
      </c>
    </row>
    <row r="200" spans="1:9" ht="52" customHeight="1" x14ac:dyDescent="0.2">
      <c r="A200" s="99" t="s">
        <v>71</v>
      </c>
      <c r="B200" s="99"/>
      <c r="C200" s="99"/>
      <c r="D200" s="99"/>
      <c r="E200" s="100"/>
      <c r="F200" s="100"/>
      <c r="G200" s="99"/>
      <c r="H200" s="99"/>
      <c r="I200" s="85" t="s">
        <v>137</v>
      </c>
    </row>
    <row r="201" spans="1:9" x14ac:dyDescent="0.2">
      <c r="A201" s="6"/>
      <c r="B201" s="101" t="s">
        <v>65</v>
      </c>
      <c r="C201" s="101"/>
      <c r="D201" s="58"/>
      <c r="E201" s="89"/>
      <c r="F201" s="104" t="s">
        <v>66</v>
      </c>
      <c r="G201" s="104"/>
      <c r="H201" s="105"/>
      <c r="I201" s="85" t="s">
        <v>137</v>
      </c>
    </row>
    <row r="202" spans="1:9" hidden="1" x14ac:dyDescent="0.2">
      <c r="A202" s="6"/>
      <c r="B202" s="6"/>
      <c r="C202" s="6"/>
      <c r="D202" s="6"/>
      <c r="E202" s="90"/>
      <c r="F202" s="90"/>
      <c r="G202" s="30"/>
      <c r="H202" s="56"/>
      <c r="I202" s="85"/>
    </row>
  </sheetData>
  <autoFilter ref="B8:I202" xr:uid="{58D13D6A-658E-0F41-B999-AA8FD20AA331}">
    <filterColumn colId="7">
      <filters>
        <filter val="Bãi"/>
      </filters>
    </filterColumn>
  </autoFilter>
  <mergeCells count="11">
    <mergeCell ref="A200:H200"/>
    <mergeCell ref="B201:C201"/>
    <mergeCell ref="B103:C103"/>
    <mergeCell ref="A102:H102"/>
    <mergeCell ref="B6:I6"/>
    <mergeCell ref="F201:H201"/>
    <mergeCell ref="B1:I1"/>
    <mergeCell ref="B2:I2"/>
    <mergeCell ref="B3:I3"/>
    <mergeCell ref="B4:I4"/>
    <mergeCell ref="B5:I5"/>
  </mergeCells>
  <pageMargins left="0.25" right="0.25" top="0.75" bottom="0.75" header="0.3" footer="0.3"/>
  <pageSetup paperSize="9" orientation="portrait" horizontalDpi="0" verticalDpi="0" copies="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640C-21AD-4C4A-909D-00097F8C1BAD}">
  <sheetPr>
    <pageSetUpPr fitToPage="1"/>
  </sheetPr>
  <dimension ref="A1:O72"/>
  <sheetViews>
    <sheetView topLeftCell="A5" zoomScale="110" zoomScaleNormal="110" workbookViewId="0">
      <selection activeCell="K33" sqref="K33"/>
    </sheetView>
  </sheetViews>
  <sheetFormatPr baseColWidth="10" defaultRowHeight="16" x14ac:dyDescent="0.2"/>
  <cols>
    <col min="1" max="1" width="2" customWidth="1"/>
    <col min="2" max="2" width="4.83203125" customWidth="1"/>
    <col min="3" max="3" width="37.1640625" customWidth="1"/>
    <col min="4" max="4" width="41.6640625" customWidth="1"/>
    <col min="5" max="5" width="7.6640625" customWidth="1"/>
    <col min="6" max="6" width="5.33203125" customWidth="1"/>
    <col min="7" max="7" width="15" customWidth="1"/>
    <col min="8" max="8" width="16.5" customWidth="1"/>
    <col min="9" max="9" width="7.5" customWidth="1"/>
    <col min="12" max="12" width="21.33203125" customWidth="1"/>
  </cols>
  <sheetData>
    <row r="1" spans="1:15" ht="31" customHeight="1" x14ac:dyDescent="0.2">
      <c r="B1" s="107" t="s">
        <v>67</v>
      </c>
      <c r="C1" s="107"/>
      <c r="D1" s="107"/>
      <c r="E1" s="107"/>
      <c r="F1" s="107"/>
      <c r="G1" s="107"/>
      <c r="H1" s="107"/>
      <c r="I1" s="107"/>
    </row>
    <row r="2" spans="1:15" ht="31" customHeight="1" x14ac:dyDescent="0.2">
      <c r="A2" s="4"/>
      <c r="B2" s="108" t="s">
        <v>4</v>
      </c>
      <c r="C2" s="108"/>
      <c r="D2" s="108"/>
      <c r="E2" s="108"/>
      <c r="F2" s="108"/>
      <c r="G2" s="108"/>
      <c r="H2" s="108"/>
      <c r="I2" s="108"/>
    </row>
    <row r="3" spans="1:15" ht="29" customHeight="1" x14ac:dyDescent="0.2">
      <c r="A3" s="4"/>
      <c r="B3" s="97" t="s">
        <v>79</v>
      </c>
      <c r="C3" s="97"/>
      <c r="D3" s="97"/>
      <c r="E3" s="97"/>
      <c r="F3" s="97"/>
      <c r="G3" s="97"/>
      <c r="H3" s="97"/>
      <c r="I3" s="97"/>
    </row>
    <row r="4" spans="1:15" ht="22" customHeight="1" x14ac:dyDescent="0.2">
      <c r="A4" s="4"/>
      <c r="B4" s="109" t="s">
        <v>44</v>
      </c>
      <c r="C4" s="109"/>
      <c r="D4" s="109"/>
      <c r="E4" s="109"/>
      <c r="F4" s="109"/>
      <c r="G4" s="109"/>
      <c r="H4" s="109"/>
      <c r="I4" s="109"/>
    </row>
    <row r="5" spans="1:15" ht="22" customHeight="1" x14ac:dyDescent="0.2">
      <c r="A5" s="4"/>
      <c r="B5" s="109" t="s">
        <v>45</v>
      </c>
      <c r="C5" s="109"/>
      <c r="D5" s="109"/>
      <c r="E5" s="109"/>
      <c r="F5" s="109"/>
      <c r="G5" s="109"/>
      <c r="H5" s="109"/>
      <c r="I5" s="109"/>
    </row>
    <row r="6" spans="1:15" ht="22" customHeight="1" x14ac:dyDescent="0.2">
      <c r="A6" s="4"/>
      <c r="B6" s="106" t="s">
        <v>46</v>
      </c>
      <c r="C6" s="106"/>
      <c r="D6" s="106"/>
      <c r="E6" s="106"/>
      <c r="F6" s="106"/>
      <c r="G6" s="106"/>
      <c r="H6" s="106"/>
      <c r="I6" s="106"/>
    </row>
    <row r="7" spans="1:15" ht="8" customHeight="1" thickBot="1" x14ac:dyDescent="0.25">
      <c r="A7" s="4"/>
      <c r="B7" s="7"/>
      <c r="C7" s="7"/>
      <c r="D7" s="3"/>
      <c r="E7" s="3"/>
      <c r="F7" s="3"/>
      <c r="G7" s="3"/>
      <c r="H7" s="3"/>
      <c r="I7" s="3"/>
    </row>
    <row r="8" spans="1:15" ht="21" thickBot="1" x14ac:dyDescent="0.25">
      <c r="A8" s="4"/>
      <c r="B8" s="8" t="s">
        <v>47</v>
      </c>
      <c r="C8" s="8" t="s">
        <v>0</v>
      </c>
      <c r="D8" s="9" t="s">
        <v>2</v>
      </c>
      <c r="E8" s="8" t="s">
        <v>13</v>
      </c>
      <c r="F8" s="9" t="s">
        <v>12</v>
      </c>
      <c r="G8" s="9" t="s">
        <v>1</v>
      </c>
      <c r="H8" s="8" t="s">
        <v>78</v>
      </c>
      <c r="I8" s="8" t="s">
        <v>68</v>
      </c>
      <c r="J8" s="1"/>
      <c r="L8" s="4"/>
    </row>
    <row r="9" spans="1:15" ht="40" x14ac:dyDescent="0.2">
      <c r="A9" s="4"/>
      <c r="B9" s="10">
        <v>1</v>
      </c>
      <c r="C9" s="11" t="s">
        <v>11</v>
      </c>
      <c r="D9" s="11" t="s">
        <v>14</v>
      </c>
      <c r="E9" s="12" t="s">
        <v>15</v>
      </c>
      <c r="F9" s="12"/>
      <c r="G9" s="13">
        <v>20000000</v>
      </c>
      <c r="H9" s="14">
        <f>F9*G9</f>
        <v>0</v>
      </c>
      <c r="I9" s="14" t="s">
        <v>81</v>
      </c>
      <c r="O9" s="6"/>
    </row>
    <row r="10" spans="1:15" ht="40" x14ac:dyDescent="0.2">
      <c r="A10" s="4"/>
      <c r="B10" s="15">
        <v>2</v>
      </c>
      <c r="C10" s="16" t="s">
        <v>16</v>
      </c>
      <c r="D10" s="16" t="s">
        <v>17</v>
      </c>
      <c r="E10" s="17" t="s">
        <v>15</v>
      </c>
      <c r="F10" s="17"/>
      <c r="G10" s="18">
        <v>15000000</v>
      </c>
      <c r="H10" s="18">
        <f>F10*G10</f>
        <v>0</v>
      </c>
      <c r="I10" s="19" t="s">
        <v>81</v>
      </c>
    </row>
    <row r="11" spans="1:15" ht="80" x14ac:dyDescent="0.2">
      <c r="A11" s="4"/>
      <c r="B11" s="15">
        <v>3</v>
      </c>
      <c r="C11" s="20" t="s">
        <v>43</v>
      </c>
      <c r="D11" s="16" t="s">
        <v>42</v>
      </c>
      <c r="E11" s="15" t="s">
        <v>18</v>
      </c>
      <c r="F11" s="15"/>
      <c r="G11" s="18">
        <v>600000000</v>
      </c>
      <c r="H11" s="18">
        <f t="shared" ref="H11:H38" si="0">F11*G11</f>
        <v>0</v>
      </c>
      <c r="I11" s="19" t="s">
        <v>81</v>
      </c>
    </row>
    <row r="12" spans="1:15" ht="40" x14ac:dyDescent="0.2">
      <c r="A12" s="4"/>
      <c r="B12" s="15">
        <v>4</v>
      </c>
      <c r="C12" s="20" t="s">
        <v>19</v>
      </c>
      <c r="D12" s="16" t="s">
        <v>20</v>
      </c>
      <c r="E12" s="15" t="s">
        <v>21</v>
      </c>
      <c r="F12" s="15"/>
      <c r="G12" s="18">
        <v>5000000</v>
      </c>
      <c r="H12" s="18">
        <f t="shared" si="0"/>
        <v>0</v>
      </c>
      <c r="I12" s="19" t="s">
        <v>81</v>
      </c>
    </row>
    <row r="13" spans="1:15" ht="40" x14ac:dyDescent="0.2">
      <c r="A13" s="4"/>
      <c r="B13" s="15">
        <v>5</v>
      </c>
      <c r="C13" s="20" t="s">
        <v>22</v>
      </c>
      <c r="D13" s="16" t="s">
        <v>23</v>
      </c>
      <c r="E13" s="15" t="s">
        <v>24</v>
      </c>
      <c r="F13" s="15"/>
      <c r="G13" s="18">
        <v>3000000</v>
      </c>
      <c r="H13" s="18">
        <f t="shared" si="0"/>
        <v>0</v>
      </c>
      <c r="I13" s="19" t="s">
        <v>81</v>
      </c>
    </row>
    <row r="14" spans="1:15" ht="20" customHeight="1" x14ac:dyDescent="0.2">
      <c r="A14" s="4"/>
      <c r="B14" s="15">
        <v>6</v>
      </c>
      <c r="C14" s="20" t="s">
        <v>25</v>
      </c>
      <c r="D14" s="16" t="s">
        <v>26</v>
      </c>
      <c r="E14" s="15" t="s">
        <v>27</v>
      </c>
      <c r="F14" s="15"/>
      <c r="G14" s="18">
        <v>70000000</v>
      </c>
      <c r="H14" s="18">
        <f t="shared" si="0"/>
        <v>0</v>
      </c>
      <c r="I14" s="19" t="s">
        <v>81</v>
      </c>
    </row>
    <row r="15" spans="1:15" ht="20" customHeight="1" x14ac:dyDescent="0.2">
      <c r="A15" s="4"/>
      <c r="B15" s="15">
        <v>7</v>
      </c>
      <c r="C15" s="20" t="s">
        <v>28</v>
      </c>
      <c r="D15" s="16" t="s">
        <v>30</v>
      </c>
      <c r="E15" s="15" t="s">
        <v>29</v>
      </c>
      <c r="F15" s="15"/>
      <c r="G15" s="18">
        <v>3000000</v>
      </c>
      <c r="H15" s="18">
        <f t="shared" si="0"/>
        <v>0</v>
      </c>
      <c r="I15" s="19" t="s">
        <v>81</v>
      </c>
    </row>
    <row r="16" spans="1:15" ht="20" customHeight="1" x14ac:dyDescent="0.2">
      <c r="A16" s="4"/>
      <c r="B16" s="15">
        <v>8</v>
      </c>
      <c r="C16" s="20" t="s">
        <v>31</v>
      </c>
      <c r="D16" s="16"/>
      <c r="E16" s="15" t="s">
        <v>32</v>
      </c>
      <c r="F16" s="15"/>
      <c r="G16" s="18">
        <v>700000000</v>
      </c>
      <c r="H16" s="18">
        <f t="shared" si="0"/>
        <v>0</v>
      </c>
      <c r="I16" s="19" t="s">
        <v>81</v>
      </c>
    </row>
    <row r="17" spans="1:9" ht="20" customHeight="1" x14ac:dyDescent="0.2">
      <c r="A17" s="4"/>
      <c r="B17" s="15">
        <v>9</v>
      </c>
      <c r="C17" s="20" t="s">
        <v>6</v>
      </c>
      <c r="D17" s="16" t="s">
        <v>33</v>
      </c>
      <c r="E17" s="15" t="s">
        <v>8</v>
      </c>
      <c r="F17" s="15"/>
      <c r="G17" s="18">
        <v>3000000</v>
      </c>
      <c r="H17" s="18">
        <f t="shared" si="0"/>
        <v>0</v>
      </c>
      <c r="I17" s="19" t="s">
        <v>81</v>
      </c>
    </row>
    <row r="18" spans="1:9" ht="20" customHeight="1" x14ac:dyDescent="0.2">
      <c r="A18" s="4"/>
      <c r="B18" s="15">
        <v>10</v>
      </c>
      <c r="C18" s="20" t="s">
        <v>34</v>
      </c>
      <c r="D18" s="16" t="s">
        <v>33</v>
      </c>
      <c r="E18" s="15" t="s">
        <v>8</v>
      </c>
      <c r="F18" s="15"/>
      <c r="G18" s="21">
        <v>2000000</v>
      </c>
      <c r="H18" s="18">
        <f t="shared" si="0"/>
        <v>0</v>
      </c>
      <c r="I18" s="19" t="s">
        <v>81</v>
      </c>
    </row>
    <row r="19" spans="1:9" ht="20" customHeight="1" x14ac:dyDescent="0.2">
      <c r="A19" s="4"/>
      <c r="B19" s="15">
        <v>11</v>
      </c>
      <c r="C19" s="20" t="s">
        <v>5</v>
      </c>
      <c r="D19" s="16" t="s">
        <v>35</v>
      </c>
      <c r="E19" s="15" t="s">
        <v>36</v>
      </c>
      <c r="F19" s="15"/>
      <c r="G19" s="21">
        <v>6000000</v>
      </c>
      <c r="H19" s="18">
        <f t="shared" si="0"/>
        <v>0</v>
      </c>
      <c r="I19" s="19" t="s">
        <v>81</v>
      </c>
    </row>
    <row r="20" spans="1:9" ht="20" customHeight="1" x14ac:dyDescent="0.2">
      <c r="A20" s="4"/>
      <c r="B20" s="15">
        <v>12</v>
      </c>
      <c r="C20" s="20" t="s">
        <v>7</v>
      </c>
      <c r="D20" s="16" t="s">
        <v>35</v>
      </c>
      <c r="E20" s="15" t="s">
        <v>36</v>
      </c>
      <c r="F20" s="15"/>
      <c r="G20" s="21">
        <v>10000000</v>
      </c>
      <c r="H20" s="18">
        <f t="shared" si="0"/>
        <v>0</v>
      </c>
      <c r="I20" s="19" t="s">
        <v>81</v>
      </c>
    </row>
    <row r="21" spans="1:9" ht="20" x14ac:dyDescent="0.2">
      <c r="A21" s="4"/>
      <c r="B21" s="15">
        <v>13</v>
      </c>
      <c r="C21" s="16" t="s">
        <v>72</v>
      </c>
      <c r="D21" s="16" t="s">
        <v>37</v>
      </c>
      <c r="E21" s="15" t="s">
        <v>18</v>
      </c>
      <c r="F21" s="15"/>
      <c r="G21" s="21">
        <v>3000000</v>
      </c>
      <c r="H21" s="18">
        <f t="shared" si="0"/>
        <v>0</v>
      </c>
      <c r="I21" s="19" t="s">
        <v>81</v>
      </c>
    </row>
    <row r="22" spans="1:9" ht="20" customHeight="1" x14ac:dyDescent="0.2">
      <c r="A22" s="4"/>
      <c r="B22" s="15">
        <v>14</v>
      </c>
      <c r="C22" s="16" t="s">
        <v>38</v>
      </c>
      <c r="D22" s="16"/>
      <c r="E22" s="15" t="s">
        <v>39</v>
      </c>
      <c r="F22" s="15"/>
      <c r="G22" s="21">
        <v>80000</v>
      </c>
      <c r="H22" s="18">
        <f t="shared" si="0"/>
        <v>0</v>
      </c>
      <c r="I22" s="19" t="s">
        <v>81</v>
      </c>
    </row>
    <row r="23" spans="1:9" ht="20" customHeight="1" x14ac:dyDescent="0.2">
      <c r="A23" s="4"/>
      <c r="B23" s="15">
        <v>15</v>
      </c>
      <c r="C23" s="16" t="s">
        <v>40</v>
      </c>
      <c r="D23" s="16" t="s">
        <v>48</v>
      </c>
      <c r="E23" s="15" t="s">
        <v>41</v>
      </c>
      <c r="F23" s="15"/>
      <c r="G23" s="21">
        <v>150000</v>
      </c>
      <c r="H23" s="18">
        <f t="shared" si="0"/>
        <v>0</v>
      </c>
      <c r="I23" s="19" t="s">
        <v>81</v>
      </c>
    </row>
    <row r="24" spans="1:9" ht="20" customHeight="1" x14ac:dyDescent="0.2">
      <c r="A24" s="4"/>
      <c r="B24" s="15">
        <v>16</v>
      </c>
      <c r="C24" s="16" t="s">
        <v>49</v>
      </c>
      <c r="D24" s="16"/>
      <c r="E24" s="15" t="s">
        <v>39</v>
      </c>
      <c r="F24" s="15"/>
      <c r="G24" s="21">
        <v>100000</v>
      </c>
      <c r="H24" s="18">
        <f t="shared" si="0"/>
        <v>0</v>
      </c>
      <c r="I24" s="19" t="s">
        <v>81</v>
      </c>
    </row>
    <row r="25" spans="1:9" ht="20" customHeight="1" x14ac:dyDescent="0.2">
      <c r="A25" s="4"/>
      <c r="B25" s="15">
        <v>17</v>
      </c>
      <c r="C25" s="16" t="s">
        <v>50</v>
      </c>
      <c r="D25" s="16"/>
      <c r="E25" s="15" t="s">
        <v>60</v>
      </c>
      <c r="F25" s="15"/>
      <c r="G25" s="21">
        <v>70000</v>
      </c>
      <c r="H25" s="18">
        <f t="shared" si="0"/>
        <v>0</v>
      </c>
      <c r="I25" s="19" t="s">
        <v>81</v>
      </c>
    </row>
    <row r="26" spans="1:9" ht="20" customHeight="1" x14ac:dyDescent="0.2">
      <c r="A26" s="4"/>
      <c r="B26" s="15">
        <v>18</v>
      </c>
      <c r="C26" s="16" t="s">
        <v>74</v>
      </c>
      <c r="D26" s="16" t="s">
        <v>73</v>
      </c>
      <c r="E26" s="15" t="s">
        <v>39</v>
      </c>
      <c r="F26" s="15"/>
      <c r="G26" s="21">
        <v>100000</v>
      </c>
      <c r="H26" s="18">
        <f t="shared" si="0"/>
        <v>0</v>
      </c>
      <c r="I26" s="19" t="s">
        <v>81</v>
      </c>
    </row>
    <row r="27" spans="1:9" ht="20" customHeight="1" x14ac:dyDescent="0.2">
      <c r="A27" s="4"/>
      <c r="B27" s="15">
        <v>19</v>
      </c>
      <c r="C27" s="16" t="s">
        <v>51</v>
      </c>
      <c r="D27" s="16" t="s">
        <v>59</v>
      </c>
      <c r="E27" s="15" t="s">
        <v>39</v>
      </c>
      <c r="F27" s="15"/>
      <c r="G27" s="21">
        <v>300000</v>
      </c>
      <c r="H27" s="18">
        <f t="shared" si="0"/>
        <v>0</v>
      </c>
      <c r="I27" s="19" t="s">
        <v>81</v>
      </c>
    </row>
    <row r="28" spans="1:9" ht="20" customHeight="1" x14ac:dyDescent="0.2">
      <c r="A28" s="4"/>
      <c r="B28" s="15">
        <v>20</v>
      </c>
      <c r="C28" s="16" t="s">
        <v>52</v>
      </c>
      <c r="D28" s="16"/>
      <c r="E28" s="15" t="s">
        <v>39</v>
      </c>
      <c r="F28" s="15"/>
      <c r="G28" s="21">
        <v>100000</v>
      </c>
      <c r="H28" s="18">
        <f t="shared" si="0"/>
        <v>0</v>
      </c>
      <c r="I28" s="19" t="s">
        <v>81</v>
      </c>
    </row>
    <row r="29" spans="1:9" ht="20" customHeight="1" x14ac:dyDescent="0.2">
      <c r="A29" s="4"/>
      <c r="B29" s="15">
        <v>21</v>
      </c>
      <c r="C29" s="16" t="s">
        <v>53</v>
      </c>
      <c r="D29" s="16"/>
      <c r="E29" s="15" t="s">
        <v>39</v>
      </c>
      <c r="F29" s="15"/>
      <c r="G29" s="21">
        <v>300000</v>
      </c>
      <c r="H29" s="18">
        <f t="shared" si="0"/>
        <v>0</v>
      </c>
      <c r="I29" s="19" t="s">
        <v>81</v>
      </c>
    </row>
    <row r="30" spans="1:9" ht="20" customHeight="1" x14ac:dyDescent="0.2">
      <c r="A30" s="4"/>
      <c r="B30" s="15">
        <v>22</v>
      </c>
      <c r="C30" s="16" t="s">
        <v>54</v>
      </c>
      <c r="D30" s="16"/>
      <c r="E30" s="15" t="s">
        <v>10</v>
      </c>
      <c r="F30" s="15"/>
      <c r="G30" s="21">
        <v>500000</v>
      </c>
      <c r="H30" s="18">
        <f t="shared" si="0"/>
        <v>0</v>
      </c>
      <c r="I30" s="19" t="s">
        <v>81</v>
      </c>
    </row>
    <row r="31" spans="1:9" ht="20" customHeight="1" x14ac:dyDescent="0.2">
      <c r="A31" s="4"/>
      <c r="B31" s="15">
        <v>23</v>
      </c>
      <c r="C31" s="16" t="s">
        <v>55</v>
      </c>
      <c r="D31" s="16"/>
      <c r="E31" s="15" t="s">
        <v>9</v>
      </c>
      <c r="F31" s="15"/>
      <c r="G31" s="21">
        <v>300000</v>
      </c>
      <c r="H31" s="18">
        <f t="shared" si="0"/>
        <v>0</v>
      </c>
      <c r="I31" s="19" t="s">
        <v>81</v>
      </c>
    </row>
    <row r="32" spans="1:9" ht="20" customHeight="1" x14ac:dyDescent="0.2">
      <c r="A32" s="4"/>
      <c r="B32" s="15">
        <v>24</v>
      </c>
      <c r="C32" s="16" t="s">
        <v>56</v>
      </c>
      <c r="D32" s="16"/>
      <c r="E32" s="15" t="s">
        <v>9</v>
      </c>
      <c r="F32" s="15"/>
      <c r="G32" s="21">
        <v>100000</v>
      </c>
      <c r="H32" s="18">
        <f t="shared" si="0"/>
        <v>0</v>
      </c>
      <c r="I32" s="19" t="s">
        <v>81</v>
      </c>
    </row>
    <row r="33" spans="1:9" ht="20" customHeight="1" x14ac:dyDescent="0.2">
      <c r="A33" s="4"/>
      <c r="B33" s="15">
        <v>25</v>
      </c>
      <c r="C33" s="16" t="s">
        <v>61</v>
      </c>
      <c r="D33" s="16"/>
      <c r="E33" s="15" t="s">
        <v>9</v>
      </c>
      <c r="F33" s="15"/>
      <c r="G33" s="21">
        <v>50000</v>
      </c>
      <c r="H33" s="18">
        <f t="shared" si="0"/>
        <v>0</v>
      </c>
      <c r="I33" s="19" t="s">
        <v>81</v>
      </c>
    </row>
    <row r="34" spans="1:9" ht="20" customHeight="1" x14ac:dyDescent="0.2">
      <c r="A34" s="4"/>
      <c r="B34" s="15">
        <v>26</v>
      </c>
      <c r="C34" s="16" t="s">
        <v>57</v>
      </c>
      <c r="D34" s="16"/>
      <c r="E34" s="15" t="s">
        <v>39</v>
      </c>
      <c r="F34" s="15"/>
      <c r="G34" s="21">
        <v>50000</v>
      </c>
      <c r="H34" s="18">
        <f t="shared" si="0"/>
        <v>0</v>
      </c>
      <c r="I34" s="19" t="s">
        <v>81</v>
      </c>
    </row>
    <row r="35" spans="1:9" ht="20" customHeight="1" x14ac:dyDescent="0.2">
      <c r="A35" s="4"/>
      <c r="B35" s="15">
        <v>27</v>
      </c>
      <c r="C35" s="16" t="s">
        <v>58</v>
      </c>
      <c r="D35" s="16"/>
      <c r="E35" s="15" t="s">
        <v>39</v>
      </c>
      <c r="F35" s="15"/>
      <c r="G35" s="21">
        <v>100000</v>
      </c>
      <c r="H35" s="18">
        <f t="shared" si="0"/>
        <v>0</v>
      </c>
      <c r="I35" s="19" t="s">
        <v>81</v>
      </c>
    </row>
    <row r="36" spans="1:9" ht="20" customHeight="1" x14ac:dyDescent="0.2">
      <c r="A36" s="4"/>
      <c r="B36" s="15">
        <v>28</v>
      </c>
      <c r="C36" s="16" t="s">
        <v>62</v>
      </c>
      <c r="D36" s="16"/>
      <c r="E36" s="15" t="s">
        <v>76</v>
      </c>
      <c r="F36" s="15"/>
      <c r="G36" s="21"/>
      <c r="H36" s="18">
        <f t="shared" si="0"/>
        <v>0</v>
      </c>
      <c r="I36" s="19" t="s">
        <v>81</v>
      </c>
    </row>
    <row r="37" spans="1:9" ht="20" customHeight="1" x14ac:dyDescent="0.2">
      <c r="A37" s="4"/>
      <c r="B37" s="15">
        <v>29</v>
      </c>
      <c r="C37" s="16" t="s">
        <v>63</v>
      </c>
      <c r="D37" s="16"/>
      <c r="E37" s="15" t="s">
        <v>41</v>
      </c>
      <c r="F37" s="15"/>
      <c r="G37" s="21"/>
      <c r="H37" s="18">
        <f t="shared" si="0"/>
        <v>0</v>
      </c>
      <c r="I37" s="19" t="s">
        <v>81</v>
      </c>
    </row>
    <row r="38" spans="1:9" ht="20" customHeight="1" thickBot="1" x14ac:dyDescent="0.25">
      <c r="A38" s="4"/>
      <c r="B38" s="15">
        <v>30</v>
      </c>
      <c r="C38" s="16" t="s">
        <v>64</v>
      </c>
      <c r="D38" s="16"/>
      <c r="E38" s="15" t="s">
        <v>75</v>
      </c>
      <c r="F38" s="15"/>
      <c r="G38" s="21"/>
      <c r="H38" s="18">
        <f t="shared" si="0"/>
        <v>0</v>
      </c>
      <c r="I38" s="19" t="s">
        <v>81</v>
      </c>
    </row>
    <row r="39" spans="1:9" ht="28" customHeight="1" thickBot="1" x14ac:dyDescent="0.25">
      <c r="A39" s="4"/>
      <c r="B39" s="110" t="s">
        <v>77</v>
      </c>
      <c r="C39" s="111"/>
      <c r="D39" s="111"/>
      <c r="E39" s="111"/>
      <c r="F39" s="111"/>
      <c r="G39" s="112"/>
      <c r="H39" s="22">
        <f>SUM(H9:H38)</f>
        <v>0</v>
      </c>
      <c r="I39" s="22"/>
    </row>
    <row r="40" spans="1:9" ht="68" customHeight="1" x14ac:dyDescent="0.2">
      <c r="A40" s="4"/>
      <c r="B40" s="113" t="s">
        <v>71</v>
      </c>
      <c r="C40" s="113"/>
      <c r="D40" s="113"/>
      <c r="E40" s="113"/>
      <c r="F40" s="113"/>
      <c r="G40" s="113"/>
      <c r="H40" s="113"/>
      <c r="I40" s="113"/>
    </row>
    <row r="41" spans="1:9" ht="25" customHeight="1" x14ac:dyDescent="0.2">
      <c r="A41" s="4"/>
      <c r="B41" s="23" t="s">
        <v>3</v>
      </c>
      <c r="C41" s="23"/>
      <c r="D41" s="23"/>
      <c r="E41" s="23"/>
      <c r="F41" s="23"/>
      <c r="G41" s="23"/>
      <c r="H41" s="23"/>
      <c r="I41" s="23"/>
    </row>
    <row r="42" spans="1:9" ht="4" customHeight="1" x14ac:dyDescent="0.2">
      <c r="A42" s="4"/>
      <c r="B42" s="3"/>
      <c r="C42" s="3"/>
      <c r="D42" s="3"/>
      <c r="E42" s="3"/>
      <c r="F42" s="3"/>
      <c r="G42" s="3"/>
      <c r="H42" s="3"/>
      <c r="I42" s="3"/>
    </row>
    <row r="43" spans="1:9" ht="19" x14ac:dyDescent="0.2">
      <c r="A43" s="4"/>
      <c r="B43" s="23"/>
      <c r="C43" s="23"/>
      <c r="D43" s="23"/>
      <c r="E43" s="23"/>
      <c r="F43" s="23"/>
      <c r="G43" s="98" t="s">
        <v>80</v>
      </c>
      <c r="H43" s="98"/>
      <c r="I43" s="98"/>
    </row>
    <row r="44" spans="1:9" ht="4" customHeight="1" x14ac:dyDescent="0.2">
      <c r="A44" s="4"/>
      <c r="B44" s="23"/>
      <c r="C44" s="23"/>
      <c r="D44" s="23"/>
      <c r="E44" s="23"/>
      <c r="F44" s="23"/>
      <c r="G44" s="23"/>
      <c r="H44" s="23"/>
      <c r="I44" s="23"/>
    </row>
    <row r="45" spans="1:9" ht="29" customHeight="1" x14ac:dyDescent="0.2">
      <c r="A45" s="4"/>
      <c r="B45" s="96" t="s">
        <v>65</v>
      </c>
      <c r="C45" s="96"/>
      <c r="D45" s="24"/>
      <c r="E45" s="23"/>
      <c r="F45" s="23"/>
      <c r="G45" s="96" t="s">
        <v>66</v>
      </c>
      <c r="H45" s="96"/>
      <c r="I45" s="96"/>
    </row>
    <row r="46" spans="1:9" ht="18" x14ac:dyDescent="0.2">
      <c r="A46" s="4"/>
      <c r="B46" s="3"/>
      <c r="C46" s="3"/>
      <c r="D46" s="3"/>
      <c r="E46" s="3"/>
      <c r="F46" s="3"/>
      <c r="G46" s="3"/>
      <c r="H46" s="3"/>
      <c r="I46" s="3"/>
    </row>
    <row r="47" spans="1:9" ht="18" x14ac:dyDescent="0.2">
      <c r="A47" s="4"/>
      <c r="B47" s="3"/>
      <c r="C47" s="3"/>
      <c r="D47" s="3"/>
      <c r="E47" s="3"/>
      <c r="F47" s="3"/>
      <c r="G47" s="3"/>
      <c r="H47" s="3"/>
      <c r="I47" s="3"/>
    </row>
    <row r="48" spans="1:9" ht="18" x14ac:dyDescent="0.2">
      <c r="A48" s="4"/>
      <c r="B48" s="3"/>
      <c r="C48" s="3"/>
      <c r="D48" s="3"/>
      <c r="E48" s="3"/>
      <c r="F48" s="3"/>
      <c r="G48" s="3"/>
      <c r="H48" s="3"/>
      <c r="I48" s="3"/>
    </row>
    <row r="49" spans="2:9" ht="17" x14ac:dyDescent="0.2">
      <c r="B49" s="5"/>
      <c r="C49" s="5"/>
      <c r="D49" s="5"/>
      <c r="E49" s="5"/>
      <c r="F49" s="5"/>
      <c r="G49" s="5"/>
      <c r="H49" s="5"/>
      <c r="I49" s="5"/>
    </row>
    <row r="50" spans="2:9" x14ac:dyDescent="0.2">
      <c r="B50" s="2"/>
      <c r="C50" s="2"/>
      <c r="D50" s="2"/>
      <c r="E50" s="2"/>
      <c r="F50" s="2"/>
      <c r="G50" s="2"/>
      <c r="H50" s="2"/>
      <c r="I50" s="2"/>
    </row>
    <row r="51" spans="2:9" ht="18" x14ac:dyDescent="0.2">
      <c r="B51" s="3"/>
      <c r="C51" s="3"/>
      <c r="D51" s="3"/>
      <c r="E51" s="3"/>
      <c r="F51" s="3"/>
      <c r="G51" s="3"/>
      <c r="H51" s="3"/>
      <c r="I51" s="3"/>
    </row>
    <row r="52" spans="2:9" ht="18" x14ac:dyDescent="0.2">
      <c r="B52" s="3"/>
      <c r="C52" s="3"/>
      <c r="D52" s="3"/>
      <c r="E52" s="3"/>
      <c r="F52" s="3"/>
      <c r="G52" s="3"/>
      <c r="H52" s="3"/>
      <c r="I52" s="3"/>
    </row>
    <row r="53" spans="2:9" x14ac:dyDescent="0.2">
      <c r="B53" s="2"/>
      <c r="C53" s="2"/>
      <c r="D53" s="2"/>
      <c r="E53" s="2"/>
      <c r="F53" s="2"/>
      <c r="G53" s="2"/>
      <c r="H53" s="2"/>
      <c r="I53" s="2"/>
    </row>
    <row r="54" spans="2:9" x14ac:dyDescent="0.2">
      <c r="B54" s="2"/>
      <c r="C54" s="2"/>
      <c r="D54" s="2"/>
      <c r="E54" s="2"/>
      <c r="F54" s="2"/>
      <c r="G54" s="2"/>
      <c r="H54" s="2"/>
      <c r="I54" s="2"/>
    </row>
    <row r="55" spans="2:9" x14ac:dyDescent="0.2">
      <c r="B55" s="2"/>
      <c r="C55" s="2"/>
      <c r="D55" s="2"/>
      <c r="E55" s="2"/>
      <c r="F55" s="2"/>
      <c r="G55" s="2"/>
      <c r="H55" s="2"/>
      <c r="I55" s="2"/>
    </row>
    <row r="56" spans="2:9" x14ac:dyDescent="0.2">
      <c r="B56" s="2"/>
      <c r="C56" s="2"/>
      <c r="D56" s="2"/>
      <c r="E56" s="2"/>
      <c r="F56" s="2"/>
      <c r="G56" s="2"/>
      <c r="H56" s="2"/>
      <c r="I56" s="2"/>
    </row>
    <row r="57" spans="2:9" x14ac:dyDescent="0.2">
      <c r="B57" s="2"/>
      <c r="C57" s="2"/>
      <c r="D57" s="2"/>
      <c r="E57" s="2"/>
      <c r="F57" s="2"/>
      <c r="G57" s="2"/>
      <c r="H57" s="2"/>
      <c r="I57" s="2"/>
    </row>
    <row r="58" spans="2:9" x14ac:dyDescent="0.2">
      <c r="B58" s="2"/>
      <c r="C58" s="2"/>
      <c r="D58" s="2"/>
      <c r="E58" s="2"/>
      <c r="F58" s="2"/>
      <c r="G58" s="2"/>
      <c r="H58" s="2"/>
      <c r="I58" s="2"/>
    </row>
    <row r="59" spans="2:9" x14ac:dyDescent="0.2">
      <c r="B59" s="2"/>
      <c r="C59" s="2"/>
      <c r="D59" s="2"/>
      <c r="E59" s="2"/>
      <c r="F59" s="2"/>
      <c r="G59" s="2"/>
      <c r="H59" s="2"/>
      <c r="I59" s="2"/>
    </row>
    <row r="60" spans="2:9" x14ac:dyDescent="0.2">
      <c r="B60" s="2"/>
      <c r="C60" s="2"/>
      <c r="D60" s="2"/>
      <c r="E60" s="2"/>
      <c r="F60" s="2"/>
      <c r="G60" s="2"/>
      <c r="H60" s="2"/>
      <c r="I60" s="2"/>
    </row>
    <row r="61" spans="2:9" x14ac:dyDescent="0.2">
      <c r="B61" s="2"/>
      <c r="C61" s="2"/>
      <c r="D61" s="2"/>
      <c r="E61" s="2"/>
      <c r="F61" s="2"/>
      <c r="G61" s="2"/>
      <c r="H61" s="2"/>
      <c r="I61" s="2"/>
    </row>
    <row r="62" spans="2:9" x14ac:dyDescent="0.2">
      <c r="B62" s="2"/>
      <c r="C62" s="2"/>
      <c r="D62" s="2"/>
      <c r="E62" s="2"/>
      <c r="F62" s="2"/>
      <c r="G62" s="2"/>
      <c r="H62" s="2"/>
      <c r="I62" s="2"/>
    </row>
    <row r="63" spans="2:9" x14ac:dyDescent="0.2">
      <c r="B63" s="2"/>
      <c r="C63" s="2"/>
      <c r="D63" s="2"/>
      <c r="E63" s="2"/>
      <c r="F63" s="2"/>
      <c r="G63" s="2"/>
      <c r="H63" s="2"/>
      <c r="I63" s="2"/>
    </row>
    <row r="64" spans="2:9" x14ac:dyDescent="0.2">
      <c r="B64" s="2"/>
      <c r="C64" s="2"/>
      <c r="D64" s="2"/>
      <c r="E64" s="2"/>
      <c r="F64" s="2"/>
      <c r="G64" s="2"/>
      <c r="H64" s="2"/>
      <c r="I64" s="2"/>
    </row>
    <row r="65" spans="2:9" x14ac:dyDescent="0.2">
      <c r="B65" s="2"/>
      <c r="C65" s="2"/>
      <c r="D65" s="2"/>
      <c r="E65" s="2"/>
      <c r="F65" s="2"/>
      <c r="G65" s="2"/>
      <c r="H65" s="2"/>
      <c r="I65" s="2"/>
    </row>
    <row r="66" spans="2:9" x14ac:dyDescent="0.2">
      <c r="B66" s="2"/>
      <c r="C66" s="2"/>
      <c r="D66" s="2"/>
      <c r="E66" s="2"/>
      <c r="F66" s="2"/>
      <c r="G66" s="2"/>
      <c r="H66" s="2"/>
      <c r="I66" s="2"/>
    </row>
    <row r="67" spans="2:9" x14ac:dyDescent="0.2">
      <c r="B67" s="2"/>
      <c r="C67" s="2"/>
      <c r="D67" s="2"/>
      <c r="E67" s="2"/>
      <c r="F67" s="2"/>
      <c r="G67" s="2"/>
      <c r="H67" s="2"/>
      <c r="I67" s="2"/>
    </row>
    <row r="68" spans="2:9" x14ac:dyDescent="0.2">
      <c r="B68" s="2"/>
      <c r="C68" s="2"/>
      <c r="D68" s="2"/>
      <c r="E68" s="2"/>
      <c r="F68" s="2"/>
      <c r="G68" s="2"/>
      <c r="H68" s="2"/>
      <c r="I68" s="2"/>
    </row>
    <row r="69" spans="2:9" x14ac:dyDescent="0.2">
      <c r="B69" s="2"/>
      <c r="C69" s="2"/>
      <c r="D69" s="2"/>
      <c r="E69" s="2"/>
      <c r="F69" s="2"/>
      <c r="G69" s="2"/>
      <c r="H69" s="2"/>
      <c r="I69" s="2"/>
    </row>
    <row r="70" spans="2:9" x14ac:dyDescent="0.2">
      <c r="B70" s="2"/>
      <c r="C70" s="2"/>
      <c r="D70" s="2"/>
      <c r="E70" s="2"/>
      <c r="F70" s="2"/>
      <c r="G70" s="2"/>
      <c r="H70" s="2"/>
      <c r="I70" s="2"/>
    </row>
    <row r="71" spans="2:9" x14ac:dyDescent="0.2">
      <c r="B71" s="2"/>
      <c r="C71" s="2"/>
      <c r="D71" s="2"/>
      <c r="E71" s="2"/>
      <c r="F71" s="2"/>
      <c r="G71" s="2"/>
      <c r="H71" s="2"/>
      <c r="I71" s="2"/>
    </row>
    <row r="72" spans="2:9" x14ac:dyDescent="0.2">
      <c r="B72" s="2"/>
      <c r="C72" s="2"/>
      <c r="D72" s="2"/>
      <c r="E72" s="2"/>
      <c r="F72" s="2"/>
      <c r="G72" s="2"/>
      <c r="H72" s="2"/>
      <c r="I72" s="2"/>
    </row>
  </sheetData>
  <mergeCells count="11">
    <mergeCell ref="B39:G39"/>
    <mergeCell ref="B40:I40"/>
    <mergeCell ref="G43:I43"/>
    <mergeCell ref="B45:C45"/>
    <mergeCell ref="G45:I45"/>
    <mergeCell ref="B6:I6"/>
    <mergeCell ref="B1:I1"/>
    <mergeCell ref="B2:I2"/>
    <mergeCell ref="B3:I3"/>
    <mergeCell ref="B4:I4"/>
    <mergeCell ref="B5:I5"/>
  </mergeCells>
  <phoneticPr fontId="8" type="noConversion"/>
  <pageMargins left="0.25" right="0.25" top="0.75" bottom="0.75" header="0.3" footer="0.3"/>
  <pageSetup paperSize="9" scale="67" orientation="portrait" horizontalDpi="0" verticalDpi="0" copies="2"/>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E64A0-7CAC-6F46-A198-DB26C6DF33CF}">
  <sheetPr>
    <pageSetUpPr fitToPage="1"/>
  </sheetPr>
  <dimension ref="A1:O74"/>
  <sheetViews>
    <sheetView topLeftCell="A37" zoomScale="90" zoomScaleNormal="90" workbookViewId="0">
      <selection activeCell="B42" sqref="B42:I47"/>
    </sheetView>
  </sheetViews>
  <sheetFormatPr baseColWidth="10" defaultRowHeight="16" x14ac:dyDescent="0.2"/>
  <cols>
    <col min="1" max="1" width="2" customWidth="1"/>
    <col min="2" max="2" width="4.83203125" customWidth="1"/>
    <col min="3" max="3" width="37.1640625" customWidth="1"/>
    <col min="4" max="4" width="41.6640625" customWidth="1"/>
    <col min="5" max="5" width="5.6640625" bestFit="1" customWidth="1"/>
    <col min="6" max="6" width="5.33203125" customWidth="1"/>
    <col min="7" max="7" width="15" customWidth="1"/>
    <col min="8" max="8" width="16.5" customWidth="1"/>
    <col min="9" max="9" width="7.5" customWidth="1"/>
    <col min="12" max="12" width="21.33203125" customWidth="1"/>
  </cols>
  <sheetData>
    <row r="1" spans="1:15" ht="31" customHeight="1" x14ac:dyDescent="0.2">
      <c r="B1" s="107" t="s">
        <v>67</v>
      </c>
      <c r="C1" s="107"/>
      <c r="D1" s="107"/>
      <c r="E1" s="107"/>
      <c r="F1" s="107"/>
      <c r="G1" s="107"/>
      <c r="H1" s="107"/>
      <c r="I1" s="107"/>
    </row>
    <row r="2" spans="1:15" ht="31" customHeight="1" x14ac:dyDescent="0.2">
      <c r="A2" s="4"/>
      <c r="B2" s="108" t="s">
        <v>4</v>
      </c>
      <c r="C2" s="108"/>
      <c r="D2" s="108"/>
      <c r="E2" s="108"/>
      <c r="F2" s="108"/>
      <c r="G2" s="108"/>
      <c r="H2" s="108"/>
      <c r="I2" s="108"/>
    </row>
    <row r="3" spans="1:15" ht="29" customHeight="1" x14ac:dyDescent="0.2">
      <c r="A3" s="4"/>
      <c r="B3" s="97" t="s">
        <v>79</v>
      </c>
      <c r="C3" s="97"/>
      <c r="D3" s="97"/>
      <c r="E3" s="97"/>
      <c r="F3" s="97"/>
      <c r="G3" s="97"/>
      <c r="H3" s="97"/>
      <c r="I3" s="97"/>
    </row>
    <row r="4" spans="1:15" ht="22" customHeight="1" x14ac:dyDescent="0.2">
      <c r="A4" s="4"/>
      <c r="B4" s="109" t="s">
        <v>44</v>
      </c>
      <c r="C4" s="109"/>
      <c r="D4" s="109"/>
      <c r="E4" s="109"/>
      <c r="F4" s="109"/>
      <c r="G4" s="109"/>
      <c r="H4" s="109"/>
      <c r="I4" s="109"/>
    </row>
    <row r="5" spans="1:15" ht="22" customHeight="1" x14ac:dyDescent="0.2">
      <c r="A5" s="4"/>
      <c r="B5" s="109" t="s">
        <v>45</v>
      </c>
      <c r="C5" s="109"/>
      <c r="D5" s="109"/>
      <c r="E5" s="109"/>
      <c r="F5" s="109"/>
      <c r="G5" s="109"/>
      <c r="H5" s="109"/>
      <c r="I5" s="109"/>
    </row>
    <row r="6" spans="1:15" ht="22" customHeight="1" x14ac:dyDescent="0.2">
      <c r="A6" s="4"/>
      <c r="B6" s="106" t="s">
        <v>46</v>
      </c>
      <c r="C6" s="106"/>
      <c r="D6" s="106"/>
      <c r="E6" s="106"/>
      <c r="F6" s="106"/>
      <c r="G6" s="106"/>
      <c r="H6" s="106"/>
      <c r="I6" s="106"/>
    </row>
    <row r="7" spans="1:15" ht="8" customHeight="1" thickBot="1" x14ac:dyDescent="0.25">
      <c r="A7" s="4"/>
      <c r="B7" s="7"/>
      <c r="C7" s="7"/>
      <c r="D7" s="3"/>
      <c r="E7" s="3"/>
      <c r="F7" s="3"/>
      <c r="G7" s="3"/>
      <c r="H7" s="3"/>
      <c r="I7" s="3"/>
    </row>
    <row r="8" spans="1:15" ht="21" thickBot="1" x14ac:dyDescent="0.25">
      <c r="A8" s="4"/>
      <c r="B8" s="8" t="s">
        <v>47</v>
      </c>
      <c r="C8" s="8" t="s">
        <v>0</v>
      </c>
      <c r="D8" s="9" t="s">
        <v>2</v>
      </c>
      <c r="E8" s="8" t="s">
        <v>13</v>
      </c>
      <c r="F8" s="9" t="s">
        <v>12</v>
      </c>
      <c r="G8" s="9" t="s">
        <v>1</v>
      </c>
      <c r="H8" s="8" t="s">
        <v>78</v>
      </c>
      <c r="I8" s="8" t="s">
        <v>68</v>
      </c>
      <c r="J8" s="1"/>
      <c r="L8" s="4"/>
    </row>
    <row r="9" spans="1:15" ht="40" x14ac:dyDescent="0.2">
      <c r="A9" s="4"/>
      <c r="B9" s="10">
        <v>1</v>
      </c>
      <c r="C9" s="11" t="s">
        <v>11</v>
      </c>
      <c r="D9" s="11" t="s">
        <v>14</v>
      </c>
      <c r="E9" s="12" t="s">
        <v>15</v>
      </c>
      <c r="F9" s="12">
        <v>14</v>
      </c>
      <c r="G9" s="13">
        <v>20000000</v>
      </c>
      <c r="H9" s="14">
        <f>F9*G9</f>
        <v>280000000</v>
      </c>
      <c r="I9" s="14" t="s">
        <v>69</v>
      </c>
      <c r="O9" s="6"/>
    </row>
    <row r="10" spans="1:15" ht="40" x14ac:dyDescent="0.2">
      <c r="A10" s="4"/>
      <c r="B10" s="15">
        <v>2</v>
      </c>
      <c r="C10" s="16" t="s">
        <v>16</v>
      </c>
      <c r="D10" s="16" t="s">
        <v>17</v>
      </c>
      <c r="E10" s="17" t="s">
        <v>15</v>
      </c>
      <c r="F10" s="17">
        <v>4</v>
      </c>
      <c r="G10" s="18">
        <v>15000000</v>
      </c>
      <c r="H10" s="18">
        <f>F10*G10</f>
        <v>60000000</v>
      </c>
      <c r="I10" s="19" t="s">
        <v>69</v>
      </c>
    </row>
    <row r="11" spans="1:15" ht="40" x14ac:dyDescent="0.2">
      <c r="A11" s="4"/>
      <c r="B11" s="25">
        <v>3</v>
      </c>
      <c r="C11" s="26" t="s">
        <v>82</v>
      </c>
      <c r="D11" s="26" t="s">
        <v>14</v>
      </c>
      <c r="E11" s="27" t="s">
        <v>15</v>
      </c>
      <c r="F11" s="27">
        <v>9</v>
      </c>
      <c r="G11" s="28">
        <v>20000000</v>
      </c>
      <c r="H11" s="29">
        <f>F11*G11</f>
        <v>180000000</v>
      </c>
      <c r="I11" s="29" t="s">
        <v>69</v>
      </c>
    </row>
    <row r="12" spans="1:15" ht="40" x14ac:dyDescent="0.2">
      <c r="A12" s="4"/>
      <c r="B12" s="15">
        <v>4</v>
      </c>
      <c r="C12" s="16" t="s">
        <v>83</v>
      </c>
      <c r="D12" s="16" t="s">
        <v>17</v>
      </c>
      <c r="E12" s="17" t="s">
        <v>15</v>
      </c>
      <c r="F12" s="17">
        <v>5</v>
      </c>
      <c r="G12" s="18">
        <v>15000000</v>
      </c>
      <c r="H12" s="18">
        <f>F12*G12</f>
        <v>75000000</v>
      </c>
      <c r="I12" s="19" t="s">
        <v>69</v>
      </c>
    </row>
    <row r="13" spans="1:15" ht="80" x14ac:dyDescent="0.2">
      <c r="A13" s="4"/>
      <c r="B13" s="25">
        <v>5</v>
      </c>
      <c r="C13" s="20" t="s">
        <v>43</v>
      </c>
      <c r="D13" s="16" t="s">
        <v>42</v>
      </c>
      <c r="E13" s="15" t="s">
        <v>18</v>
      </c>
      <c r="F13" s="15">
        <v>1</v>
      </c>
      <c r="G13" s="18">
        <v>600000000</v>
      </c>
      <c r="H13" s="18">
        <f t="shared" ref="H13:H40" si="0">F13*G13</f>
        <v>600000000</v>
      </c>
      <c r="I13" s="19" t="s">
        <v>70</v>
      </c>
    </row>
    <row r="14" spans="1:15" ht="40" x14ac:dyDescent="0.2">
      <c r="A14" s="4"/>
      <c r="B14" s="15">
        <v>6</v>
      </c>
      <c r="C14" s="20" t="s">
        <v>19</v>
      </c>
      <c r="D14" s="16" t="s">
        <v>20</v>
      </c>
      <c r="E14" s="15" t="s">
        <v>21</v>
      </c>
      <c r="F14" s="15">
        <v>39</v>
      </c>
      <c r="G14" s="18">
        <v>5000000</v>
      </c>
      <c r="H14" s="18">
        <f t="shared" si="0"/>
        <v>195000000</v>
      </c>
      <c r="I14" s="19" t="s">
        <v>69</v>
      </c>
    </row>
    <row r="15" spans="1:15" ht="40" x14ac:dyDescent="0.2">
      <c r="A15" s="4"/>
      <c r="B15" s="25">
        <v>7</v>
      </c>
      <c r="C15" s="20" t="s">
        <v>22</v>
      </c>
      <c r="D15" s="16" t="s">
        <v>23</v>
      </c>
      <c r="E15" s="15" t="s">
        <v>24</v>
      </c>
      <c r="F15" s="15">
        <v>1</v>
      </c>
      <c r="G15" s="18">
        <v>3000000</v>
      </c>
      <c r="H15" s="18">
        <f t="shared" si="0"/>
        <v>3000000</v>
      </c>
      <c r="I15" s="19" t="s">
        <v>69</v>
      </c>
    </row>
    <row r="16" spans="1:15" ht="20" customHeight="1" x14ac:dyDescent="0.2">
      <c r="A16" s="4"/>
      <c r="B16" s="15">
        <v>8</v>
      </c>
      <c r="C16" s="20" t="s">
        <v>25</v>
      </c>
      <c r="D16" s="16" t="s">
        <v>26</v>
      </c>
      <c r="E16" s="15" t="s">
        <v>27</v>
      </c>
      <c r="F16" s="15">
        <v>1</v>
      </c>
      <c r="G16" s="18">
        <v>70000000</v>
      </c>
      <c r="H16" s="18">
        <f t="shared" si="0"/>
        <v>70000000</v>
      </c>
      <c r="I16" s="19" t="s">
        <v>69</v>
      </c>
    </row>
    <row r="17" spans="1:9" ht="20" customHeight="1" x14ac:dyDescent="0.2">
      <c r="A17" s="4"/>
      <c r="B17" s="25">
        <v>9</v>
      </c>
      <c r="C17" s="20" t="s">
        <v>28</v>
      </c>
      <c r="D17" s="16" t="s">
        <v>30</v>
      </c>
      <c r="E17" s="15" t="s">
        <v>29</v>
      </c>
      <c r="F17" s="15">
        <v>1</v>
      </c>
      <c r="G17" s="18">
        <v>3000000</v>
      </c>
      <c r="H17" s="18">
        <f t="shared" si="0"/>
        <v>3000000</v>
      </c>
      <c r="I17" s="19" t="s">
        <v>69</v>
      </c>
    </row>
    <row r="18" spans="1:9" ht="20" customHeight="1" x14ac:dyDescent="0.2">
      <c r="A18" s="4"/>
      <c r="B18" s="15">
        <v>10</v>
      </c>
      <c r="C18" s="20" t="s">
        <v>31</v>
      </c>
      <c r="D18" s="16"/>
      <c r="E18" s="15" t="s">
        <v>32</v>
      </c>
      <c r="F18" s="15">
        <v>1</v>
      </c>
      <c r="G18" s="18">
        <v>700000000</v>
      </c>
      <c r="H18" s="18">
        <f t="shared" si="0"/>
        <v>700000000</v>
      </c>
      <c r="I18" s="19" t="s">
        <v>69</v>
      </c>
    </row>
    <row r="19" spans="1:9" ht="20" customHeight="1" x14ac:dyDescent="0.2">
      <c r="A19" s="4"/>
      <c r="B19" s="25">
        <v>11</v>
      </c>
      <c r="C19" s="20" t="s">
        <v>6</v>
      </c>
      <c r="D19" s="16" t="s">
        <v>33</v>
      </c>
      <c r="E19" s="15" t="s">
        <v>8</v>
      </c>
      <c r="F19" s="15">
        <v>2</v>
      </c>
      <c r="G19" s="18">
        <v>3000000</v>
      </c>
      <c r="H19" s="18">
        <f t="shared" si="0"/>
        <v>6000000</v>
      </c>
      <c r="I19" s="19" t="s">
        <v>69</v>
      </c>
    </row>
    <row r="20" spans="1:9" ht="20" customHeight="1" x14ac:dyDescent="0.2">
      <c r="A20" s="4"/>
      <c r="B20" s="15">
        <v>12</v>
      </c>
      <c r="C20" s="20" t="s">
        <v>34</v>
      </c>
      <c r="D20" s="16" t="s">
        <v>33</v>
      </c>
      <c r="E20" s="15" t="s">
        <v>8</v>
      </c>
      <c r="F20" s="15">
        <v>2</v>
      </c>
      <c r="G20" s="21">
        <v>2000000</v>
      </c>
      <c r="H20" s="18">
        <f t="shared" si="0"/>
        <v>4000000</v>
      </c>
      <c r="I20" s="19" t="s">
        <v>69</v>
      </c>
    </row>
    <row r="21" spans="1:9" ht="20" customHeight="1" x14ac:dyDescent="0.2">
      <c r="A21" s="4"/>
      <c r="B21" s="25">
        <v>13</v>
      </c>
      <c r="C21" s="20" t="s">
        <v>5</v>
      </c>
      <c r="D21" s="16" t="s">
        <v>35</v>
      </c>
      <c r="E21" s="15" t="s">
        <v>36</v>
      </c>
      <c r="F21" s="15">
        <v>2</v>
      </c>
      <c r="G21" s="21">
        <v>6000000</v>
      </c>
      <c r="H21" s="18">
        <f t="shared" si="0"/>
        <v>12000000</v>
      </c>
      <c r="I21" s="19" t="s">
        <v>69</v>
      </c>
    </row>
    <row r="22" spans="1:9" ht="20" customHeight="1" x14ac:dyDescent="0.2">
      <c r="A22" s="4"/>
      <c r="B22" s="15">
        <v>14</v>
      </c>
      <c r="C22" s="20" t="s">
        <v>7</v>
      </c>
      <c r="D22" s="16" t="s">
        <v>35</v>
      </c>
      <c r="E22" s="15" t="s">
        <v>36</v>
      </c>
      <c r="F22" s="15">
        <v>1</v>
      </c>
      <c r="G22" s="21">
        <v>10000000</v>
      </c>
      <c r="H22" s="18">
        <f t="shared" si="0"/>
        <v>10000000</v>
      </c>
      <c r="I22" s="19" t="s">
        <v>69</v>
      </c>
    </row>
    <row r="23" spans="1:9" ht="20" x14ac:dyDescent="0.2">
      <c r="A23" s="4"/>
      <c r="B23" s="25">
        <v>15</v>
      </c>
      <c r="C23" s="16" t="s">
        <v>72</v>
      </c>
      <c r="D23" s="16" t="s">
        <v>37</v>
      </c>
      <c r="E23" s="15" t="s">
        <v>18</v>
      </c>
      <c r="F23" s="15">
        <v>2</v>
      </c>
      <c r="G23" s="21">
        <v>3000000</v>
      </c>
      <c r="H23" s="18">
        <f t="shared" si="0"/>
        <v>6000000</v>
      </c>
      <c r="I23" s="19" t="s">
        <v>69</v>
      </c>
    </row>
    <row r="24" spans="1:9" ht="20" customHeight="1" x14ac:dyDescent="0.2">
      <c r="A24" s="4"/>
      <c r="B24" s="15">
        <v>16</v>
      </c>
      <c r="C24" s="16" t="s">
        <v>38</v>
      </c>
      <c r="D24" s="16"/>
      <c r="E24" s="15" t="s">
        <v>39</v>
      </c>
      <c r="F24" s="15">
        <v>3</v>
      </c>
      <c r="G24" s="21">
        <v>80000</v>
      </c>
      <c r="H24" s="18">
        <f t="shared" si="0"/>
        <v>240000</v>
      </c>
      <c r="I24" s="19" t="s">
        <v>69</v>
      </c>
    </row>
    <row r="25" spans="1:9" ht="20" customHeight="1" x14ac:dyDescent="0.2">
      <c r="A25" s="4"/>
      <c r="B25" s="25">
        <v>17</v>
      </c>
      <c r="C25" s="16" t="s">
        <v>40</v>
      </c>
      <c r="D25" s="16" t="s">
        <v>48</v>
      </c>
      <c r="E25" s="15" t="s">
        <v>41</v>
      </c>
      <c r="F25" s="15">
        <v>8</v>
      </c>
      <c r="G25" s="21">
        <v>150000</v>
      </c>
      <c r="H25" s="18">
        <f t="shared" si="0"/>
        <v>1200000</v>
      </c>
      <c r="I25" s="19" t="s">
        <v>69</v>
      </c>
    </row>
    <row r="26" spans="1:9" ht="20" customHeight="1" x14ac:dyDescent="0.2">
      <c r="A26" s="4"/>
      <c r="B26" s="15">
        <v>18</v>
      </c>
      <c r="C26" s="16" t="s">
        <v>49</v>
      </c>
      <c r="D26" s="16"/>
      <c r="E26" s="15" t="s">
        <v>39</v>
      </c>
      <c r="F26" s="15">
        <v>2</v>
      </c>
      <c r="G26" s="21">
        <v>100000</v>
      </c>
      <c r="H26" s="18">
        <f t="shared" si="0"/>
        <v>200000</v>
      </c>
      <c r="I26" s="19" t="s">
        <v>69</v>
      </c>
    </row>
    <row r="27" spans="1:9" ht="20" customHeight="1" x14ac:dyDescent="0.2">
      <c r="A27" s="4"/>
      <c r="B27" s="25">
        <v>19</v>
      </c>
      <c r="C27" s="16" t="s">
        <v>50</v>
      </c>
      <c r="D27" s="16"/>
      <c r="E27" s="15" t="s">
        <v>60</v>
      </c>
      <c r="F27" s="15">
        <v>4</v>
      </c>
      <c r="G27" s="21">
        <v>70000</v>
      </c>
      <c r="H27" s="18">
        <f t="shared" si="0"/>
        <v>280000</v>
      </c>
      <c r="I27" s="19" t="s">
        <v>69</v>
      </c>
    </row>
    <row r="28" spans="1:9" ht="20" customHeight="1" x14ac:dyDescent="0.2">
      <c r="A28" s="4"/>
      <c r="B28" s="15">
        <v>20</v>
      </c>
      <c r="C28" s="16" t="s">
        <v>74</v>
      </c>
      <c r="D28" s="16" t="s">
        <v>73</v>
      </c>
      <c r="E28" s="15" t="s">
        <v>39</v>
      </c>
      <c r="F28" s="15">
        <v>1</v>
      </c>
      <c r="G28" s="21">
        <v>100000</v>
      </c>
      <c r="H28" s="18">
        <f t="shared" si="0"/>
        <v>100000</v>
      </c>
      <c r="I28" s="19" t="s">
        <v>69</v>
      </c>
    </row>
    <row r="29" spans="1:9" ht="20" customHeight="1" x14ac:dyDescent="0.2">
      <c r="A29" s="4"/>
      <c r="B29" s="25">
        <v>21</v>
      </c>
      <c r="C29" s="16" t="s">
        <v>51</v>
      </c>
      <c r="D29" s="16" t="s">
        <v>59</v>
      </c>
      <c r="E29" s="15" t="s">
        <v>39</v>
      </c>
      <c r="F29" s="15">
        <v>1</v>
      </c>
      <c r="G29" s="21">
        <v>300000</v>
      </c>
      <c r="H29" s="18">
        <f t="shared" si="0"/>
        <v>300000</v>
      </c>
      <c r="I29" s="19" t="s">
        <v>69</v>
      </c>
    </row>
    <row r="30" spans="1:9" ht="20" customHeight="1" x14ac:dyDescent="0.2">
      <c r="A30" s="4"/>
      <c r="B30" s="15">
        <v>22</v>
      </c>
      <c r="C30" s="16" t="s">
        <v>52</v>
      </c>
      <c r="D30" s="16"/>
      <c r="E30" s="15" t="s">
        <v>39</v>
      </c>
      <c r="F30" s="15">
        <v>1</v>
      </c>
      <c r="G30" s="21">
        <v>100000</v>
      </c>
      <c r="H30" s="18">
        <f t="shared" si="0"/>
        <v>100000</v>
      </c>
      <c r="I30" s="19" t="s">
        <v>69</v>
      </c>
    </row>
    <row r="31" spans="1:9" ht="20" customHeight="1" x14ac:dyDescent="0.2">
      <c r="A31" s="4"/>
      <c r="B31" s="25">
        <v>23</v>
      </c>
      <c r="C31" s="16" t="s">
        <v>53</v>
      </c>
      <c r="D31" s="16"/>
      <c r="E31" s="15" t="s">
        <v>39</v>
      </c>
      <c r="F31" s="15">
        <v>2</v>
      </c>
      <c r="G31" s="21">
        <v>300000</v>
      </c>
      <c r="H31" s="18">
        <f t="shared" si="0"/>
        <v>600000</v>
      </c>
      <c r="I31" s="19" t="s">
        <v>69</v>
      </c>
    </row>
    <row r="32" spans="1:9" ht="20" customHeight="1" x14ac:dyDescent="0.2">
      <c r="A32" s="4"/>
      <c r="B32" s="15">
        <v>24</v>
      </c>
      <c r="C32" s="16" t="s">
        <v>54</v>
      </c>
      <c r="D32" s="16"/>
      <c r="E32" s="15" t="s">
        <v>10</v>
      </c>
      <c r="F32" s="15">
        <v>1</v>
      </c>
      <c r="G32" s="21">
        <v>500000</v>
      </c>
      <c r="H32" s="18">
        <f t="shared" si="0"/>
        <v>500000</v>
      </c>
      <c r="I32" s="19" t="s">
        <v>69</v>
      </c>
    </row>
    <row r="33" spans="1:9" ht="20" customHeight="1" x14ac:dyDescent="0.2">
      <c r="A33" s="4"/>
      <c r="B33" s="25">
        <v>25</v>
      </c>
      <c r="C33" s="16" t="s">
        <v>55</v>
      </c>
      <c r="D33" s="16"/>
      <c r="E33" s="15" t="s">
        <v>9</v>
      </c>
      <c r="F33" s="15">
        <v>1</v>
      </c>
      <c r="G33" s="21">
        <v>300000</v>
      </c>
      <c r="H33" s="18">
        <f t="shared" si="0"/>
        <v>300000</v>
      </c>
      <c r="I33" s="19" t="s">
        <v>69</v>
      </c>
    </row>
    <row r="34" spans="1:9" ht="20" customHeight="1" x14ac:dyDescent="0.2">
      <c r="A34" s="4"/>
      <c r="B34" s="15">
        <v>26</v>
      </c>
      <c r="C34" s="16" t="s">
        <v>56</v>
      </c>
      <c r="D34" s="16"/>
      <c r="E34" s="15" t="s">
        <v>9</v>
      </c>
      <c r="F34" s="15">
        <v>1</v>
      </c>
      <c r="G34" s="21">
        <v>100000</v>
      </c>
      <c r="H34" s="18">
        <f t="shared" si="0"/>
        <v>100000</v>
      </c>
      <c r="I34" s="19" t="s">
        <v>69</v>
      </c>
    </row>
    <row r="35" spans="1:9" ht="20" customHeight="1" x14ac:dyDescent="0.2">
      <c r="A35" s="4"/>
      <c r="B35" s="25">
        <v>27</v>
      </c>
      <c r="C35" s="16" t="s">
        <v>61</v>
      </c>
      <c r="D35" s="16"/>
      <c r="E35" s="15" t="s">
        <v>9</v>
      </c>
      <c r="F35" s="15">
        <v>1</v>
      </c>
      <c r="G35" s="21">
        <v>50000</v>
      </c>
      <c r="H35" s="18">
        <f t="shared" si="0"/>
        <v>50000</v>
      </c>
      <c r="I35" s="19" t="s">
        <v>69</v>
      </c>
    </row>
    <row r="36" spans="1:9" ht="20" customHeight="1" x14ac:dyDescent="0.2">
      <c r="A36" s="4"/>
      <c r="B36" s="15">
        <v>28</v>
      </c>
      <c r="C36" s="16" t="s">
        <v>57</v>
      </c>
      <c r="D36" s="16"/>
      <c r="E36" s="15" t="s">
        <v>39</v>
      </c>
      <c r="F36" s="15">
        <v>1</v>
      </c>
      <c r="G36" s="21">
        <v>50000</v>
      </c>
      <c r="H36" s="18">
        <f t="shared" si="0"/>
        <v>50000</v>
      </c>
      <c r="I36" s="19" t="s">
        <v>69</v>
      </c>
    </row>
    <row r="37" spans="1:9" ht="20" customHeight="1" x14ac:dyDescent="0.2">
      <c r="A37" s="4"/>
      <c r="B37" s="25">
        <v>29</v>
      </c>
      <c r="C37" s="16" t="s">
        <v>58</v>
      </c>
      <c r="D37" s="16"/>
      <c r="E37" s="15" t="s">
        <v>39</v>
      </c>
      <c r="F37" s="15">
        <v>2</v>
      </c>
      <c r="G37" s="21">
        <v>100000</v>
      </c>
      <c r="H37" s="18">
        <f t="shared" si="0"/>
        <v>200000</v>
      </c>
      <c r="I37" s="19" t="s">
        <v>69</v>
      </c>
    </row>
    <row r="38" spans="1:9" ht="20" customHeight="1" x14ac:dyDescent="0.2">
      <c r="A38" s="4"/>
      <c r="B38" s="15">
        <v>30</v>
      </c>
      <c r="C38" s="16" t="s">
        <v>62</v>
      </c>
      <c r="D38" s="16"/>
      <c r="E38" s="15" t="s">
        <v>76</v>
      </c>
      <c r="F38" s="15"/>
      <c r="G38" s="21"/>
      <c r="H38" s="18">
        <f t="shared" si="0"/>
        <v>0</v>
      </c>
      <c r="I38" s="19" t="s">
        <v>69</v>
      </c>
    </row>
    <row r="39" spans="1:9" ht="20" customHeight="1" x14ac:dyDescent="0.2">
      <c r="A39" s="4"/>
      <c r="B39" s="25">
        <v>31</v>
      </c>
      <c r="C39" s="16" t="s">
        <v>63</v>
      </c>
      <c r="D39" s="16"/>
      <c r="E39" s="15" t="s">
        <v>41</v>
      </c>
      <c r="F39" s="15"/>
      <c r="G39" s="21"/>
      <c r="H39" s="18">
        <f t="shared" si="0"/>
        <v>0</v>
      </c>
      <c r="I39" s="19" t="s">
        <v>69</v>
      </c>
    </row>
    <row r="40" spans="1:9" ht="20" customHeight="1" thickBot="1" x14ac:dyDescent="0.25">
      <c r="A40" s="4"/>
      <c r="B40" s="15">
        <v>32</v>
      </c>
      <c r="C40" s="16" t="s">
        <v>64</v>
      </c>
      <c r="D40" s="16"/>
      <c r="E40" s="15" t="s">
        <v>75</v>
      </c>
      <c r="F40" s="15"/>
      <c r="G40" s="21"/>
      <c r="H40" s="18">
        <f t="shared" si="0"/>
        <v>0</v>
      </c>
      <c r="I40" s="19" t="s">
        <v>69</v>
      </c>
    </row>
    <row r="41" spans="1:9" ht="28" customHeight="1" thickBot="1" x14ac:dyDescent="0.25">
      <c r="A41" s="4"/>
      <c r="B41" s="110" t="s">
        <v>77</v>
      </c>
      <c r="C41" s="111"/>
      <c r="D41" s="111"/>
      <c r="E41" s="111"/>
      <c r="F41" s="111"/>
      <c r="G41" s="112"/>
      <c r="H41" s="22">
        <f>SUM(H9:H40)</f>
        <v>2208220000</v>
      </c>
      <c r="I41" s="22"/>
    </row>
    <row r="42" spans="1:9" ht="68" customHeight="1" x14ac:dyDescent="0.2">
      <c r="A42" s="4"/>
      <c r="B42" s="113" t="s">
        <v>71</v>
      </c>
      <c r="C42" s="113"/>
      <c r="D42" s="113"/>
      <c r="E42" s="113"/>
      <c r="F42" s="113"/>
      <c r="G42" s="113"/>
      <c r="H42" s="113"/>
      <c r="I42" s="113"/>
    </row>
    <row r="43" spans="1:9" ht="25" customHeight="1" x14ac:dyDescent="0.2">
      <c r="A43" s="4"/>
      <c r="B43" s="23" t="s">
        <v>3</v>
      </c>
      <c r="C43" s="23"/>
      <c r="D43" s="23"/>
      <c r="E43" s="23"/>
      <c r="F43" s="23"/>
      <c r="G43" s="23"/>
      <c r="H43" s="23"/>
      <c r="I43" s="23"/>
    </row>
    <row r="44" spans="1:9" ht="4" customHeight="1" x14ac:dyDescent="0.2">
      <c r="A44" s="4"/>
      <c r="B44" s="3"/>
      <c r="C44" s="3"/>
      <c r="D44" s="3"/>
      <c r="E44" s="3"/>
      <c r="F44" s="3"/>
      <c r="G44" s="3"/>
      <c r="H44" s="3"/>
      <c r="I44" s="3"/>
    </row>
    <row r="45" spans="1:9" ht="19" x14ac:dyDescent="0.2">
      <c r="A45" s="4"/>
      <c r="B45" s="23"/>
      <c r="C45" s="23"/>
      <c r="D45" s="23"/>
      <c r="E45" s="23"/>
      <c r="F45" s="23"/>
      <c r="G45" s="98" t="s">
        <v>80</v>
      </c>
      <c r="H45" s="98"/>
      <c r="I45" s="98"/>
    </row>
    <row r="46" spans="1:9" ht="4" customHeight="1" x14ac:dyDescent="0.2">
      <c r="A46" s="4"/>
      <c r="B46" s="23"/>
      <c r="C46" s="23"/>
      <c r="D46" s="23"/>
      <c r="E46" s="23"/>
      <c r="F46" s="23"/>
      <c r="G46" s="23"/>
      <c r="H46" s="23"/>
      <c r="I46" s="23"/>
    </row>
    <row r="47" spans="1:9" ht="29" customHeight="1" x14ac:dyDescent="0.2">
      <c r="A47" s="4"/>
      <c r="B47" s="96" t="s">
        <v>65</v>
      </c>
      <c r="C47" s="96"/>
      <c r="D47" s="24"/>
      <c r="E47" s="23"/>
      <c r="F47" s="23"/>
      <c r="G47" s="96" t="s">
        <v>66</v>
      </c>
      <c r="H47" s="96"/>
      <c r="I47" s="96"/>
    </row>
    <row r="48" spans="1:9" ht="18" x14ac:dyDescent="0.2">
      <c r="A48" s="4"/>
      <c r="B48" s="3"/>
      <c r="C48" s="3"/>
      <c r="D48" s="3"/>
      <c r="E48" s="3"/>
      <c r="F48" s="3"/>
      <c r="G48" s="3"/>
      <c r="H48" s="3"/>
      <c r="I48" s="3"/>
    </row>
    <row r="49" spans="1:9" ht="18" x14ac:dyDescent="0.2">
      <c r="A49" s="4"/>
      <c r="B49" s="3"/>
      <c r="C49" s="3"/>
      <c r="D49" s="3"/>
      <c r="E49" s="3"/>
      <c r="F49" s="3"/>
      <c r="G49" s="3"/>
      <c r="H49" s="3"/>
      <c r="I49" s="3"/>
    </row>
    <row r="50" spans="1:9" ht="18" x14ac:dyDescent="0.2">
      <c r="A50" s="4"/>
      <c r="B50" s="3"/>
      <c r="C50" s="3"/>
      <c r="D50" s="3"/>
      <c r="E50" s="3"/>
      <c r="F50" s="3"/>
      <c r="G50" s="3"/>
      <c r="H50" s="3"/>
      <c r="I50" s="3"/>
    </row>
    <row r="51" spans="1:9" ht="17" x14ac:dyDescent="0.2">
      <c r="B51" s="5"/>
      <c r="C51" s="5"/>
      <c r="D51" s="5"/>
      <c r="E51" s="5"/>
      <c r="F51" s="5"/>
      <c r="G51" s="5"/>
      <c r="H51" s="5"/>
      <c r="I51" s="5"/>
    </row>
    <row r="52" spans="1:9" x14ac:dyDescent="0.2">
      <c r="B52" s="2"/>
      <c r="C52" s="2"/>
      <c r="D52" s="2"/>
      <c r="E52" s="2"/>
      <c r="F52" s="2"/>
      <c r="G52" s="2"/>
      <c r="H52" s="2"/>
      <c r="I52" s="2"/>
    </row>
    <row r="53" spans="1:9" ht="18" x14ac:dyDescent="0.2">
      <c r="B53" s="3"/>
      <c r="C53" s="3"/>
      <c r="D53" s="3"/>
      <c r="E53" s="3"/>
      <c r="F53" s="3"/>
      <c r="G53" s="3"/>
      <c r="H53" s="3"/>
      <c r="I53" s="3"/>
    </row>
    <row r="54" spans="1:9" ht="18" x14ac:dyDescent="0.2">
      <c r="B54" s="3"/>
      <c r="C54" s="3"/>
      <c r="D54" s="3"/>
      <c r="E54" s="3"/>
      <c r="F54" s="3"/>
      <c r="G54" s="3"/>
      <c r="H54" s="3"/>
      <c r="I54" s="3"/>
    </row>
    <row r="55" spans="1:9" x14ac:dyDescent="0.2">
      <c r="B55" s="2"/>
      <c r="C55" s="2"/>
      <c r="D55" s="2"/>
      <c r="E55" s="2"/>
      <c r="F55" s="2"/>
      <c r="G55" s="2"/>
      <c r="H55" s="2"/>
      <c r="I55" s="2"/>
    </row>
    <row r="56" spans="1:9" x14ac:dyDescent="0.2">
      <c r="B56" s="2"/>
      <c r="C56" s="2"/>
      <c r="D56" s="2"/>
      <c r="E56" s="2"/>
      <c r="F56" s="2"/>
      <c r="G56" s="2"/>
      <c r="H56" s="2"/>
      <c r="I56" s="2"/>
    </row>
    <row r="57" spans="1:9" x14ac:dyDescent="0.2">
      <c r="B57" s="2"/>
      <c r="C57" s="2"/>
      <c r="D57" s="2"/>
      <c r="E57" s="2"/>
      <c r="F57" s="2"/>
      <c r="G57" s="2"/>
      <c r="H57" s="2"/>
      <c r="I57" s="2"/>
    </row>
    <row r="58" spans="1:9" x14ac:dyDescent="0.2">
      <c r="B58" s="2"/>
      <c r="C58" s="2"/>
      <c r="D58" s="2"/>
      <c r="E58" s="2"/>
      <c r="F58" s="2"/>
      <c r="G58" s="2"/>
      <c r="H58" s="2"/>
      <c r="I58" s="2"/>
    </row>
    <row r="59" spans="1:9" x14ac:dyDescent="0.2">
      <c r="B59" s="2"/>
      <c r="C59" s="2"/>
      <c r="D59" s="2"/>
      <c r="E59" s="2"/>
      <c r="F59" s="2"/>
      <c r="G59" s="2"/>
      <c r="H59" s="2"/>
      <c r="I59" s="2"/>
    </row>
    <row r="60" spans="1:9" x14ac:dyDescent="0.2">
      <c r="B60" s="2"/>
      <c r="C60" s="2"/>
      <c r="D60" s="2"/>
      <c r="E60" s="2"/>
      <c r="F60" s="2"/>
      <c r="G60" s="2"/>
      <c r="H60" s="2"/>
      <c r="I60" s="2"/>
    </row>
    <row r="61" spans="1:9" x14ac:dyDescent="0.2">
      <c r="B61" s="2"/>
      <c r="C61" s="2"/>
      <c r="D61" s="2"/>
      <c r="E61" s="2"/>
      <c r="F61" s="2"/>
      <c r="G61" s="2"/>
      <c r="H61" s="2"/>
      <c r="I61" s="2"/>
    </row>
    <row r="62" spans="1:9" x14ac:dyDescent="0.2">
      <c r="B62" s="2"/>
      <c r="C62" s="2"/>
      <c r="D62" s="2"/>
      <c r="E62" s="2"/>
      <c r="F62" s="2"/>
      <c r="G62" s="2"/>
      <c r="H62" s="2"/>
      <c r="I62" s="2"/>
    </row>
    <row r="63" spans="1:9" x14ac:dyDescent="0.2">
      <c r="B63" s="2"/>
      <c r="C63" s="2"/>
      <c r="D63" s="2"/>
      <c r="E63" s="2"/>
      <c r="F63" s="2"/>
      <c r="G63" s="2"/>
      <c r="H63" s="2"/>
      <c r="I63" s="2"/>
    </row>
    <row r="64" spans="1:9" x14ac:dyDescent="0.2">
      <c r="B64" s="2"/>
      <c r="C64" s="2"/>
      <c r="D64" s="2"/>
      <c r="E64" s="2"/>
      <c r="F64" s="2"/>
      <c r="G64" s="2"/>
      <c r="H64" s="2"/>
      <c r="I64" s="2"/>
    </row>
    <row r="65" spans="2:9" x14ac:dyDescent="0.2">
      <c r="B65" s="2"/>
      <c r="C65" s="2"/>
      <c r="D65" s="2"/>
      <c r="E65" s="2"/>
      <c r="F65" s="2"/>
      <c r="G65" s="2"/>
      <c r="H65" s="2"/>
      <c r="I65" s="2"/>
    </row>
    <row r="66" spans="2:9" x14ac:dyDescent="0.2">
      <c r="B66" s="2"/>
      <c r="C66" s="2"/>
      <c r="D66" s="2"/>
      <c r="E66" s="2"/>
      <c r="F66" s="2"/>
      <c r="G66" s="2"/>
      <c r="H66" s="2"/>
      <c r="I66" s="2"/>
    </row>
    <row r="67" spans="2:9" x14ac:dyDescent="0.2">
      <c r="B67" s="2"/>
      <c r="C67" s="2"/>
      <c r="D67" s="2"/>
      <c r="E67" s="2"/>
      <c r="F67" s="2"/>
      <c r="G67" s="2"/>
      <c r="H67" s="2"/>
      <c r="I67" s="2"/>
    </row>
    <row r="68" spans="2:9" x14ac:dyDescent="0.2">
      <c r="B68" s="2"/>
      <c r="C68" s="2"/>
      <c r="D68" s="2"/>
      <c r="E68" s="2"/>
      <c r="F68" s="2"/>
      <c r="G68" s="2"/>
      <c r="H68" s="2"/>
      <c r="I68" s="2"/>
    </row>
    <row r="69" spans="2:9" x14ac:dyDescent="0.2">
      <c r="B69" s="2"/>
      <c r="C69" s="2"/>
      <c r="D69" s="2"/>
      <c r="E69" s="2"/>
      <c r="F69" s="2"/>
      <c r="G69" s="2"/>
      <c r="H69" s="2"/>
      <c r="I69" s="2"/>
    </row>
    <row r="70" spans="2:9" x14ac:dyDescent="0.2">
      <c r="B70" s="2"/>
      <c r="C70" s="2"/>
      <c r="D70" s="2"/>
      <c r="E70" s="2"/>
      <c r="F70" s="2"/>
      <c r="G70" s="2"/>
      <c r="H70" s="2"/>
      <c r="I70" s="2"/>
    </row>
    <row r="71" spans="2:9" x14ac:dyDescent="0.2">
      <c r="B71" s="2"/>
      <c r="C71" s="2"/>
      <c r="D71" s="2"/>
      <c r="E71" s="2"/>
      <c r="F71" s="2"/>
      <c r="G71" s="2"/>
      <c r="H71" s="2"/>
      <c r="I71" s="2"/>
    </row>
    <row r="72" spans="2:9" x14ac:dyDescent="0.2">
      <c r="B72" s="2"/>
      <c r="C72" s="2"/>
      <c r="D72" s="2"/>
      <c r="E72" s="2"/>
      <c r="F72" s="2"/>
      <c r="G72" s="2"/>
      <c r="H72" s="2"/>
      <c r="I72" s="2"/>
    </row>
    <row r="73" spans="2:9" x14ac:dyDescent="0.2">
      <c r="B73" s="2"/>
      <c r="C73" s="2"/>
      <c r="D73" s="2"/>
      <c r="E73" s="2"/>
      <c r="F73" s="2"/>
      <c r="G73" s="2"/>
      <c r="H73" s="2"/>
      <c r="I73" s="2"/>
    </row>
    <row r="74" spans="2:9" x14ac:dyDescent="0.2">
      <c r="B74" s="2"/>
      <c r="C74" s="2"/>
      <c r="D74" s="2"/>
      <c r="E74" s="2"/>
      <c r="F74" s="2"/>
      <c r="G74" s="2"/>
      <c r="H74" s="2"/>
      <c r="I74" s="2"/>
    </row>
  </sheetData>
  <mergeCells count="11">
    <mergeCell ref="B1:I1"/>
    <mergeCell ref="B3:I3"/>
    <mergeCell ref="B4:I4"/>
    <mergeCell ref="B5:I5"/>
    <mergeCell ref="B2:I2"/>
    <mergeCell ref="B6:I6"/>
    <mergeCell ref="B42:I42"/>
    <mergeCell ref="G45:I45"/>
    <mergeCell ref="B47:C47"/>
    <mergeCell ref="G47:I47"/>
    <mergeCell ref="B41:G41"/>
  </mergeCells>
  <phoneticPr fontId="8" type="noConversion"/>
  <pageMargins left="0.25" right="0.25" top="0.75" bottom="0.75" header="0.3" footer="0.3"/>
  <pageSetup paperSize="9" scale="67"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Tong hop VAT TU-May moc</vt:lpstr>
      <vt:lpstr>BBBG Doi ep Vt 11</vt:lpstr>
      <vt:lpstr>BBBG Doi ep vt16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2025-01-15T01:06:42Z</cp:lastPrinted>
  <dcterms:created xsi:type="dcterms:W3CDTF">2024-11-04T09:20:14Z</dcterms:created>
  <dcterms:modified xsi:type="dcterms:W3CDTF">2025-01-17T11:50:17Z</dcterms:modified>
</cp:coreProperties>
</file>